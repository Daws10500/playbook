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xmlns:r="http://schemas.openxmlformats.org/officeDocument/2006/relationships" name="Players &amp; Positions" sheetId="1" state="visible" r:id="rId1"/>
    <sheet xmlns:r="http://schemas.openxmlformats.org/officeDocument/2006/relationships" name="Play Calls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Game Summary" sheetId="4" state="visible" r:id="rId4"/>
    <sheet xmlns:r="http://schemas.openxmlformats.org/officeDocument/2006/relationships" name="Dropdown Lists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b val="1"/>
      <color rgb="FF0000FF"/>
      <sz val="12"/>
    </font>
    <font>
      <name val="Calibri"/>
      <family val="2"/>
      <b val="1"/>
      <color rgb="FF1F4E78"/>
      <sz val="16"/>
    </font>
    <font>
      <name val="Calibri"/>
      <family val="2"/>
      <b val="1"/>
      <color rgb="FF0000FF"/>
      <sz val="14"/>
    </font>
    <font>
      <name val="Calibri"/>
      <family val="2"/>
      <color rgb="FF008000"/>
      <sz val="12"/>
    </font>
    <font>
      <name val="Calibri"/>
      <family val="2"/>
      <b val="1"/>
      <sz val="12"/>
    </font>
    <font>
      <name val="Calibri"/>
      <family val="2"/>
      <b val="1"/>
      <color rgb="FFFFFFFF"/>
      <sz val="12"/>
    </font>
    <font>
      <b val="1"/>
      <color rgb="00FFFFFF"/>
      <sz val="12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/>
    </xf>
    <xf numFmtId="0" fontId="0" fillId="4" borderId="0" pivotButton="0" quotePrefix="0" xfId="0"/>
    <xf numFmtId="0" fontId="2" fillId="5" borderId="0" applyAlignment="1" pivotButton="0" quotePrefix="0" xfId="0">
      <alignment horizontal="center"/>
    </xf>
    <xf numFmtId="0" fontId="0" fillId="5" borderId="0" pivotButton="0" quotePrefix="0" xfId="0"/>
    <xf numFmtId="0" fontId="2" fillId="6" borderId="0" applyAlignment="1" pivotButton="0" quotePrefix="0" xfId="0">
      <alignment horizontal="center"/>
    </xf>
    <xf numFmtId="0" fontId="0" fillId="6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9" fillId="7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style="17" min="1" max="1"/>
    <col width="12" customWidth="1" style="17" min="2" max="2"/>
    <col width="20" customWidth="1" style="17" min="3" max="3"/>
  </cols>
  <sheetData>
    <row r="1">
      <c r="A1" s="18" t="inlineStr">
        <is>
          <t>Player Name</t>
        </is>
      </c>
      <c r="B1" s="18" t="inlineStr">
        <is>
          <t>Jersey #</t>
        </is>
      </c>
      <c r="C1" s="18" t="inlineStr">
        <is>
          <t>Positions Played</t>
        </is>
      </c>
    </row>
    <row r="2">
      <c r="A2" s="19" t="inlineStr">
        <is>
          <t>Michael Dawson</t>
        </is>
      </c>
      <c r="B2" s="20" t="n">
        <v>73</v>
      </c>
      <c r="C2" s="19" t="inlineStr">
        <is>
          <t>X, Y</t>
        </is>
      </c>
    </row>
    <row r="3">
      <c r="A3" s="19" t="inlineStr">
        <is>
          <t>Joshua Hobbins</t>
        </is>
      </c>
      <c r="B3" s="20" t="n">
        <v>0</v>
      </c>
      <c r="C3" s="19" t="inlineStr">
        <is>
          <t>C, Z</t>
        </is>
      </c>
    </row>
    <row r="4">
      <c r="A4" s="19" t="inlineStr">
        <is>
          <t>Sawyer March</t>
        </is>
      </c>
      <c r="B4" s="20" t="n">
        <v>6</v>
      </c>
      <c r="C4" s="19" t="inlineStr">
        <is>
          <t>C, Z</t>
        </is>
      </c>
    </row>
    <row r="5">
      <c r="A5" s="19" t="inlineStr">
        <is>
          <t>Andrew Martinez</t>
        </is>
      </c>
      <c r="B5" s="20" t="n">
        <v>23</v>
      </c>
      <c r="C5" s="19" t="inlineStr">
        <is>
          <t>Q, W, Z, X</t>
        </is>
      </c>
    </row>
    <row r="6">
      <c r="A6" s="19" t="inlineStr">
        <is>
          <t>Liam Phipps</t>
        </is>
      </c>
      <c r="B6" s="20" t="n">
        <v>16</v>
      </c>
      <c r="C6" s="19" t="inlineStr">
        <is>
          <t>C, Z</t>
        </is>
      </c>
    </row>
    <row r="7">
      <c r="A7" s="19" t="inlineStr">
        <is>
          <t>Agustus Rodriguez</t>
        </is>
      </c>
      <c r="B7" s="20" t="n">
        <v>2</v>
      </c>
      <c r="C7" s="19" t="inlineStr">
        <is>
          <t>C</t>
        </is>
      </c>
    </row>
    <row r="8">
      <c r="A8" s="19" t="inlineStr">
        <is>
          <t>Wesley Simmons</t>
        </is>
      </c>
      <c r="B8" s="20" t="n">
        <v>12</v>
      </c>
      <c r="C8" s="19" t="inlineStr">
        <is>
          <t>Q, W, Z, X</t>
        </is>
      </c>
    </row>
    <row r="9">
      <c r="A9" s="19" t="inlineStr">
        <is>
          <t>Caleb Spivey</t>
        </is>
      </c>
      <c r="B9" s="20" t="n">
        <v>10</v>
      </c>
      <c r="C9" s="19" t="inlineStr">
        <is>
          <t>W, Y</t>
        </is>
      </c>
    </row>
    <row r="10">
      <c r="A10" s="19" t="inlineStr">
        <is>
          <t>Carter Stevens</t>
        </is>
      </c>
      <c r="B10" s="20" t="n">
        <v>8</v>
      </c>
      <c r="C10" s="19" t="inlineStr">
        <is>
          <t>W, Y</t>
        </is>
      </c>
    </row>
    <row r="11">
      <c r="A11" s="19" t="inlineStr">
        <is>
          <t>Parker Woodward</t>
        </is>
      </c>
      <c r="B11" s="20" t="n">
        <v>20</v>
      </c>
      <c r="C11" s="19" t="inlineStr">
        <is>
          <t>X, Y</t>
        </is>
      </c>
    </row>
    <row r="14">
      <c r="A14" s="21" t="inlineStr">
        <is>
          <t>Position Key:</t>
        </is>
      </c>
    </row>
    <row r="15">
      <c r="A15" s="22" t="inlineStr">
        <is>
          <t>C</t>
        </is>
      </c>
      <c r="B15">
        <f> Center</f>
        <v/>
      </c>
    </row>
    <row r="16">
      <c r="A16" s="22" t="inlineStr">
        <is>
          <t>Q</t>
        </is>
      </c>
      <c r="B16">
        <f> Quarterback</f>
        <v/>
      </c>
    </row>
    <row r="17">
      <c r="A17" s="22" t="inlineStr">
        <is>
          <t>W</t>
        </is>
      </c>
      <c r="B17">
        <f> Wide Receiver</f>
        <v/>
      </c>
    </row>
    <row r="18">
      <c r="A18" s="22" t="inlineStr">
        <is>
          <t>X</t>
        </is>
      </c>
      <c r="B18">
        <f> Wide Receiver</f>
        <v/>
      </c>
    </row>
    <row r="19">
      <c r="A19" s="22" t="inlineStr">
        <is>
          <t>Y</t>
        </is>
      </c>
      <c r="B19">
        <f> Tight End</f>
        <v/>
      </c>
    </row>
    <row r="20">
      <c r="A20" s="22" t="inlineStr">
        <is>
          <t>Z</t>
        </is>
      </c>
      <c r="B20">
        <f> Receiver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tabSelected="1" workbookViewId="0">
      <selection activeCell="F33" sqref="F33"/>
    </sheetView>
  </sheetViews>
  <sheetFormatPr baseColWidth="10" defaultColWidth="8.83203125" defaultRowHeight="15"/>
  <cols>
    <col width="8" customWidth="1" style="17" min="1" max="1"/>
    <col width="22" customWidth="1" style="17" min="2" max="2"/>
    <col width="18" customWidth="1" style="17" min="3" max="8"/>
    <col width="25" customWidth="1" style="17" min="9" max="9"/>
  </cols>
  <sheetData>
    <row r="1" ht="30" customHeight="1" s="17">
      <c r="A1" s="1" t="inlineStr">
        <is>
          <t>Play #</t>
        </is>
      </c>
      <c r="B1" s="1" t="inlineStr">
        <is>
          <t>Play Name</t>
        </is>
      </c>
      <c r="C1" s="1" t="inlineStr">
        <is>
          <t>C (Center)</t>
        </is>
      </c>
      <c r="D1" s="1" t="inlineStr">
        <is>
          <t>Q (Quarterback)</t>
        </is>
      </c>
      <c r="E1" s="1" t="inlineStr">
        <is>
          <t>W (Wide Receiver)</t>
        </is>
      </c>
      <c r="F1" s="1" t="inlineStr">
        <is>
          <t>X (Wide Receiver)</t>
        </is>
      </c>
      <c r="G1" s="1" t="inlineStr">
        <is>
          <t>Y (Tight End)</t>
        </is>
      </c>
      <c r="H1" s="1" t="inlineStr">
        <is>
          <t>Z (Receiver)</t>
        </is>
      </c>
      <c r="I1" s="1" t="inlineStr">
        <is>
          <t>Notes</t>
        </is>
      </c>
    </row>
    <row r="2">
      <c r="A2" s="10">
        <f>IF(B2&lt;&gt;"", ROW()-1, "")</f>
        <v/>
      </c>
      <c r="B2" s="11" t="inlineStr">
        <is>
          <t>Tick</t>
        </is>
      </c>
      <c r="C2" s="11" t="inlineStr">
        <is>
          <t>Phipps</t>
        </is>
      </c>
      <c r="D2" s="11" t="inlineStr">
        <is>
          <t>Simmons</t>
        </is>
      </c>
      <c r="E2" s="11" t="inlineStr">
        <is>
          <t>Woodward</t>
        </is>
      </c>
      <c r="F2" s="11" t="inlineStr">
        <is>
          <t>March</t>
        </is>
      </c>
      <c r="G2" s="11" t="inlineStr">
        <is>
          <t>Stevens</t>
        </is>
      </c>
      <c r="H2" s="11" t="inlineStr">
        <is>
          <t>Spivey</t>
        </is>
      </c>
      <c r="I2" s="11" t="n"/>
    </row>
    <row r="3">
      <c r="A3" s="10">
        <f>IF(B3&lt;&gt;"", ROW()-1, "")</f>
        <v/>
      </c>
      <c r="B3" s="11" t="inlineStr">
        <is>
          <t>Tick</t>
        </is>
      </c>
      <c r="C3" s="11" t="inlineStr">
        <is>
          <t>Phipps</t>
        </is>
      </c>
      <c r="D3" s="11" t="inlineStr">
        <is>
          <t>Simmons</t>
        </is>
      </c>
      <c r="E3" s="11" t="inlineStr">
        <is>
          <t>Woodward</t>
        </is>
      </c>
      <c r="F3" s="11" t="inlineStr">
        <is>
          <t>March</t>
        </is>
      </c>
      <c r="G3" s="11" t="inlineStr">
        <is>
          <t>Stevens</t>
        </is>
      </c>
      <c r="H3" s="11" t="inlineStr">
        <is>
          <t>Spivey</t>
        </is>
      </c>
      <c r="I3" s="11" t="n"/>
    </row>
    <row r="4">
      <c r="A4" s="10">
        <f>IF(B4&lt;&gt;"", ROW()-1, "")</f>
        <v/>
      </c>
      <c r="B4" s="11" t="inlineStr">
        <is>
          <t>Tick Tock</t>
        </is>
      </c>
      <c r="C4" s="11" t="inlineStr">
        <is>
          <t>Phipps</t>
        </is>
      </c>
      <c r="D4" s="11" t="inlineStr">
        <is>
          <t>Simmons</t>
        </is>
      </c>
      <c r="E4" s="11" t="inlineStr">
        <is>
          <t>Woodward</t>
        </is>
      </c>
      <c r="F4" s="11" t="inlineStr">
        <is>
          <t>March</t>
        </is>
      </c>
      <c r="G4" s="11" t="inlineStr">
        <is>
          <t>Stevens</t>
        </is>
      </c>
      <c r="H4" s="11" t="inlineStr">
        <is>
          <t>Spivey</t>
        </is>
      </c>
      <c r="I4" s="11" t="n"/>
    </row>
    <row r="5">
      <c r="A5" s="10">
        <f>IF(B5&lt;&gt;"", ROW()-1, "")</f>
        <v/>
      </c>
      <c r="B5" s="11" t="inlineStr">
        <is>
          <t>Circle Run Option</t>
        </is>
      </c>
      <c r="C5" s="11" t="inlineStr">
        <is>
          <t>Phipps</t>
        </is>
      </c>
      <c r="D5" s="11" t="inlineStr">
        <is>
          <t>Simmons</t>
        </is>
      </c>
      <c r="E5" s="11" t="inlineStr">
        <is>
          <t>Woodward</t>
        </is>
      </c>
      <c r="F5" s="11" t="inlineStr">
        <is>
          <t>March</t>
        </is>
      </c>
      <c r="G5" s="11" t="inlineStr">
        <is>
          <t>Stevens</t>
        </is>
      </c>
      <c r="H5" s="11" t="inlineStr">
        <is>
          <t>Spivey</t>
        </is>
      </c>
      <c r="I5" s="11" t="n"/>
    </row>
    <row r="6">
      <c r="A6" s="12">
        <f>IF(B6&lt;&gt;"", ROW()-1, "")</f>
        <v/>
      </c>
      <c r="B6" s="13" t="inlineStr">
        <is>
          <t>Tick</t>
        </is>
      </c>
      <c r="C6" s="13" t="inlineStr">
        <is>
          <t>Rodriguez</t>
        </is>
      </c>
      <c r="D6" s="13" t="inlineStr">
        <is>
          <t>Simmons</t>
        </is>
      </c>
      <c r="E6" s="13" t="inlineStr">
        <is>
          <t>Woodward</t>
        </is>
      </c>
      <c r="F6" s="13" t="inlineStr">
        <is>
          <t>Dawson</t>
        </is>
      </c>
      <c r="G6" s="13" t="inlineStr">
        <is>
          <t>Martinez</t>
        </is>
      </c>
      <c r="H6" s="13" t="inlineStr">
        <is>
          <t>Hobbins</t>
        </is>
      </c>
      <c r="I6" s="13" t="n"/>
    </row>
    <row r="7">
      <c r="A7" s="12">
        <f>IF(B7&lt;&gt;"", ROW()-1, "")</f>
        <v/>
      </c>
      <c r="B7" s="13" t="inlineStr">
        <is>
          <t>Airplane Pass Option</t>
        </is>
      </c>
      <c r="C7" s="13" t="inlineStr">
        <is>
          <t>Rodriguez</t>
        </is>
      </c>
      <c r="D7" s="13" t="inlineStr">
        <is>
          <t>Simmons</t>
        </is>
      </c>
      <c r="E7" s="13" t="inlineStr">
        <is>
          <t>Woodward</t>
        </is>
      </c>
      <c r="F7" s="13" t="inlineStr">
        <is>
          <t>Dawson</t>
        </is>
      </c>
      <c r="G7" s="13" t="inlineStr">
        <is>
          <t>Martinez</t>
        </is>
      </c>
      <c r="H7" s="13" t="inlineStr">
        <is>
          <t>Hobbins</t>
        </is>
      </c>
      <c r="I7" s="13" t="n"/>
    </row>
    <row r="8">
      <c r="A8" s="12">
        <f>IF(B8&lt;&gt;"", ROW()-1, "")</f>
        <v/>
      </c>
      <c r="B8" s="13" t="inlineStr">
        <is>
          <t>Tick Tock</t>
        </is>
      </c>
      <c r="C8" s="13" t="inlineStr">
        <is>
          <t>Rodriguez</t>
        </is>
      </c>
      <c r="D8" s="13" t="inlineStr">
        <is>
          <t>Simmons</t>
        </is>
      </c>
      <c r="E8" s="13" t="inlineStr">
        <is>
          <t>Woodward</t>
        </is>
      </c>
      <c r="F8" s="13" t="inlineStr">
        <is>
          <t>Dawson</t>
        </is>
      </c>
      <c r="G8" s="13" t="inlineStr">
        <is>
          <t>Martinez</t>
        </is>
      </c>
      <c r="H8" s="13" t="inlineStr">
        <is>
          <t>Hobbins</t>
        </is>
      </c>
      <c r="I8" s="13" t="n"/>
    </row>
    <row r="9">
      <c r="A9" s="12">
        <f>IF(B9&lt;&gt;"", ROW()-1, "")</f>
        <v/>
      </c>
      <c r="B9" s="13" t="inlineStr">
        <is>
          <t>Eagle</t>
        </is>
      </c>
      <c r="C9" s="13" t="inlineStr">
        <is>
          <t>Rodriguez</t>
        </is>
      </c>
      <c r="D9" s="13" t="inlineStr">
        <is>
          <t>Simmons</t>
        </is>
      </c>
      <c r="E9" s="13" t="inlineStr">
        <is>
          <t>Woodward</t>
        </is>
      </c>
      <c r="F9" s="13" t="inlineStr">
        <is>
          <t>Dawson</t>
        </is>
      </c>
      <c r="G9" s="13" t="inlineStr">
        <is>
          <t>Martinez</t>
        </is>
      </c>
      <c r="H9" s="13" t="inlineStr">
        <is>
          <t>Hobbins</t>
        </is>
      </c>
      <c r="I9" s="13" t="n"/>
    </row>
    <row r="10">
      <c r="A10" s="14">
        <f>IF(B10&lt;&gt;"", ROW()-1, "")</f>
        <v/>
      </c>
      <c r="B10" s="15" t="inlineStr">
        <is>
          <t>Circle Run Option</t>
        </is>
      </c>
      <c r="C10" s="15" t="inlineStr">
        <is>
          <t>Phipps</t>
        </is>
      </c>
      <c r="D10" s="15" t="inlineStr">
        <is>
          <t>Martinez</t>
        </is>
      </c>
      <c r="E10" s="15" t="inlineStr">
        <is>
          <t>March</t>
        </is>
      </c>
      <c r="F10" s="15" t="inlineStr">
        <is>
          <t>Simmons</t>
        </is>
      </c>
      <c r="G10" s="15" t="inlineStr">
        <is>
          <t>Stevens</t>
        </is>
      </c>
      <c r="H10" s="15" t="inlineStr">
        <is>
          <t>Spivey</t>
        </is>
      </c>
      <c r="I10" s="15" t="n"/>
    </row>
    <row r="11">
      <c r="A11" s="14">
        <f>IF(B11&lt;&gt;"", ROW()-1, "")</f>
        <v/>
      </c>
      <c r="B11" s="15" t="inlineStr">
        <is>
          <t>Sweep</t>
        </is>
      </c>
      <c r="C11" s="15" t="inlineStr">
        <is>
          <t>Phipps</t>
        </is>
      </c>
      <c r="D11" s="15" t="inlineStr">
        <is>
          <t>Martinez</t>
        </is>
      </c>
      <c r="E11" s="15" t="inlineStr">
        <is>
          <t>March</t>
        </is>
      </c>
      <c r="F11" s="15" t="inlineStr">
        <is>
          <t>Simmons</t>
        </is>
      </c>
      <c r="G11" s="15" t="inlineStr">
        <is>
          <t>Stevens</t>
        </is>
      </c>
      <c r="H11" s="15" t="inlineStr">
        <is>
          <t>Spivey</t>
        </is>
      </c>
      <c r="I11" s="15" t="n"/>
    </row>
    <row r="12">
      <c r="A12" s="14">
        <f>IF(B12&lt;&gt;"", ROW()-1, "")</f>
        <v/>
      </c>
      <c r="B12" s="15" t="inlineStr">
        <is>
          <t>Cross</t>
        </is>
      </c>
      <c r="C12" s="15" t="inlineStr">
        <is>
          <t>Phipps</t>
        </is>
      </c>
      <c r="D12" s="15" t="inlineStr">
        <is>
          <t>Martinez</t>
        </is>
      </c>
      <c r="E12" s="15" t="inlineStr">
        <is>
          <t>March</t>
        </is>
      </c>
      <c r="F12" s="15" t="inlineStr">
        <is>
          <t>Simmons</t>
        </is>
      </c>
      <c r="G12" s="15" t="inlineStr">
        <is>
          <t>Stevens</t>
        </is>
      </c>
      <c r="H12" s="15" t="inlineStr">
        <is>
          <t>Spivey</t>
        </is>
      </c>
      <c r="I12" s="15" t="n"/>
    </row>
    <row r="13">
      <c r="A13" s="14">
        <f>IF(B13&lt;&gt;"", ROW()-1, "")</f>
        <v/>
      </c>
      <c r="B13" s="15" t="inlineStr">
        <is>
          <t>Tick</t>
        </is>
      </c>
      <c r="C13" s="15" t="inlineStr">
        <is>
          <t>Phipps</t>
        </is>
      </c>
      <c r="D13" s="15" t="inlineStr">
        <is>
          <t>Martinez</t>
        </is>
      </c>
      <c r="E13" s="15" t="inlineStr">
        <is>
          <t>March</t>
        </is>
      </c>
      <c r="F13" s="15" t="inlineStr">
        <is>
          <t>Simmons</t>
        </is>
      </c>
      <c r="G13" s="15" t="inlineStr">
        <is>
          <t>Stevens</t>
        </is>
      </c>
      <c r="H13" s="15" t="inlineStr">
        <is>
          <t>Spivey</t>
        </is>
      </c>
      <c r="I13" s="15" t="n"/>
    </row>
    <row r="14">
      <c r="A14" s="10">
        <f>IF(B14&lt;&gt;"", ROW()-1, "")</f>
        <v/>
      </c>
      <c r="B14" s="11" t="inlineStr">
        <is>
          <t>Tick</t>
        </is>
      </c>
      <c r="C14" s="11" t="inlineStr">
        <is>
          <t>Rodriguez</t>
        </is>
      </c>
      <c r="D14" s="11" t="inlineStr">
        <is>
          <t>Martinez</t>
        </is>
      </c>
      <c r="E14" s="11" t="inlineStr">
        <is>
          <t>Dawson</t>
        </is>
      </c>
      <c r="F14" s="11" t="inlineStr">
        <is>
          <t>Simmons</t>
        </is>
      </c>
      <c r="G14" s="11" t="inlineStr">
        <is>
          <t>Stevens</t>
        </is>
      </c>
      <c r="H14" s="11" t="inlineStr">
        <is>
          <t>Hobbins</t>
        </is>
      </c>
      <c r="I14" s="11" t="n"/>
    </row>
    <row r="15">
      <c r="A15" s="10">
        <f>IF(B15&lt;&gt;"", ROW()-1, "")</f>
        <v/>
      </c>
      <c r="B15" s="11" t="inlineStr">
        <is>
          <t>Tick Tock</t>
        </is>
      </c>
      <c r="C15" s="11" t="inlineStr">
        <is>
          <t>Rodriguez</t>
        </is>
      </c>
      <c r="D15" s="11" t="inlineStr">
        <is>
          <t>Martinez</t>
        </is>
      </c>
      <c r="E15" s="11" t="inlineStr">
        <is>
          <t>Dawson</t>
        </is>
      </c>
      <c r="F15" s="11" t="inlineStr">
        <is>
          <t>Simmons</t>
        </is>
      </c>
      <c r="G15" s="11" t="inlineStr">
        <is>
          <t>Stevens</t>
        </is>
      </c>
      <c r="H15" s="11" t="inlineStr">
        <is>
          <t>Hobbins</t>
        </is>
      </c>
      <c r="I15" s="11" t="n"/>
    </row>
    <row r="16">
      <c r="A16" s="10">
        <f>IF(B16&lt;&gt;"", ROW()-1, "")</f>
        <v/>
      </c>
      <c r="B16" s="11" t="inlineStr">
        <is>
          <t>Circle Run Option</t>
        </is>
      </c>
      <c r="C16" s="11" t="inlineStr">
        <is>
          <t>Rodriguez</t>
        </is>
      </c>
      <c r="D16" s="11" t="inlineStr">
        <is>
          <t>Martinez</t>
        </is>
      </c>
      <c r="E16" s="11" t="inlineStr">
        <is>
          <t>Dawson</t>
        </is>
      </c>
      <c r="F16" s="11" t="inlineStr">
        <is>
          <t>Simmons</t>
        </is>
      </c>
      <c r="G16" s="11" t="inlineStr">
        <is>
          <t>Stevens</t>
        </is>
      </c>
      <c r="H16" s="11" t="inlineStr">
        <is>
          <t>Hobbins</t>
        </is>
      </c>
      <c r="I16" s="11" t="n"/>
    </row>
    <row r="17">
      <c r="A17" s="12">
        <f>IF(B17&lt;&gt;"", ROW()-1, "")</f>
        <v/>
      </c>
      <c r="B17" s="13" t="inlineStr">
        <is>
          <t>Cross</t>
        </is>
      </c>
      <c r="C17" s="13" t="inlineStr">
        <is>
          <t>Phipps</t>
        </is>
      </c>
      <c r="D17" s="13" t="inlineStr">
        <is>
          <t>Martinez</t>
        </is>
      </c>
      <c r="E17" s="13" t="inlineStr">
        <is>
          <t>Woodward</t>
        </is>
      </c>
      <c r="F17" s="13" t="inlineStr">
        <is>
          <t>March</t>
        </is>
      </c>
      <c r="G17" s="13" t="inlineStr">
        <is>
          <t>Dawson</t>
        </is>
      </c>
      <c r="H17" s="13" t="inlineStr">
        <is>
          <t>Simmons</t>
        </is>
      </c>
      <c r="I17" s="13" t="n"/>
    </row>
    <row r="18">
      <c r="A18" s="12">
        <f>IF(B18&lt;&gt;"", ROW()-1, "")</f>
        <v/>
      </c>
      <c r="B18" s="13" t="inlineStr">
        <is>
          <t>Eagle</t>
        </is>
      </c>
      <c r="C18" s="13" t="inlineStr">
        <is>
          <t>Phipps</t>
        </is>
      </c>
      <c r="D18" s="13" t="inlineStr">
        <is>
          <t>Martinez</t>
        </is>
      </c>
      <c r="E18" s="13" t="inlineStr">
        <is>
          <t>Woodward</t>
        </is>
      </c>
      <c r="F18" s="13" t="inlineStr">
        <is>
          <t>March</t>
        </is>
      </c>
      <c r="G18" s="13" t="inlineStr">
        <is>
          <t>Dawson</t>
        </is>
      </c>
      <c r="H18" s="13" t="inlineStr">
        <is>
          <t>Simmons</t>
        </is>
      </c>
      <c r="I18" s="13" t="n"/>
    </row>
    <row r="19">
      <c r="A19" s="12">
        <f>IF(B19&lt;&gt;"", ROW()-1, "")</f>
        <v/>
      </c>
      <c r="B19" s="13" t="inlineStr">
        <is>
          <t>Sweep</t>
        </is>
      </c>
      <c r="C19" s="13" t="inlineStr">
        <is>
          <t>Phipps</t>
        </is>
      </c>
      <c r="D19" s="13" t="inlineStr">
        <is>
          <t>Martinez</t>
        </is>
      </c>
      <c r="E19" s="13" t="inlineStr">
        <is>
          <t>Woodward</t>
        </is>
      </c>
      <c r="F19" s="13" t="inlineStr">
        <is>
          <t>March</t>
        </is>
      </c>
      <c r="G19" s="13" t="inlineStr">
        <is>
          <t>Dawson</t>
        </is>
      </c>
      <c r="H19" s="13" t="inlineStr">
        <is>
          <t>Simmons</t>
        </is>
      </c>
      <c r="I19" s="13" t="n"/>
    </row>
    <row r="20">
      <c r="A20" s="12">
        <f>IF(B20&lt;&gt;"", ROW()-1, "")</f>
        <v/>
      </c>
      <c r="B20" s="13" t="inlineStr">
        <is>
          <t>Tick Tock</t>
        </is>
      </c>
      <c r="C20" s="13" t="inlineStr">
        <is>
          <t>Phipps</t>
        </is>
      </c>
      <c r="D20" s="13" t="inlineStr">
        <is>
          <t>Martinez</t>
        </is>
      </c>
      <c r="E20" s="13" t="inlineStr">
        <is>
          <t>Woodward</t>
        </is>
      </c>
      <c r="F20" s="13" t="inlineStr">
        <is>
          <t>March</t>
        </is>
      </c>
      <c r="G20" s="13" t="inlineStr">
        <is>
          <t>Dawson</t>
        </is>
      </c>
      <c r="H20" s="13" t="inlineStr">
        <is>
          <t>Simmons</t>
        </is>
      </c>
      <c r="I20" s="13" t="n"/>
    </row>
    <row r="21">
      <c r="A21" s="14">
        <f>IF(B21&lt;&gt;"", ROW()-1, "")</f>
        <v/>
      </c>
      <c r="B21" s="15" t="inlineStr">
        <is>
          <t>Circle Pass Option</t>
        </is>
      </c>
      <c r="C21" s="15" t="inlineStr">
        <is>
          <t>Rodriguez</t>
        </is>
      </c>
      <c r="D21" s="15" t="inlineStr">
        <is>
          <t>Simmons</t>
        </is>
      </c>
      <c r="E21" s="15" t="inlineStr">
        <is>
          <t>Hobbins</t>
        </is>
      </c>
      <c r="F21" s="15" t="inlineStr">
        <is>
          <t>Martinez</t>
        </is>
      </c>
      <c r="G21" s="15" t="inlineStr">
        <is>
          <t>Stevens</t>
        </is>
      </c>
      <c r="H21" s="15" t="inlineStr">
        <is>
          <t>Spivey</t>
        </is>
      </c>
      <c r="I21" s="15" t="n"/>
    </row>
    <row r="22">
      <c r="A22" s="14">
        <f>IF(B22&lt;&gt;"", ROW()-1, "")</f>
        <v/>
      </c>
      <c r="B22" s="15" t="inlineStr">
        <is>
          <t>Cross</t>
        </is>
      </c>
      <c r="C22" s="15" t="inlineStr">
        <is>
          <t>Rodriguez</t>
        </is>
      </c>
      <c r="D22" s="15" t="inlineStr">
        <is>
          <t>Simmons</t>
        </is>
      </c>
      <c r="E22" s="15" t="inlineStr">
        <is>
          <t>Hobbins</t>
        </is>
      </c>
      <c r="F22" s="15" t="inlineStr">
        <is>
          <t>Martinez</t>
        </is>
      </c>
      <c r="G22" s="15" t="inlineStr">
        <is>
          <t>Stevens</t>
        </is>
      </c>
      <c r="H22" s="15" t="inlineStr">
        <is>
          <t>Spivey</t>
        </is>
      </c>
      <c r="I22" s="15" t="n"/>
    </row>
    <row r="23">
      <c r="A23" s="14">
        <f>IF(B23&lt;&gt;"", ROW()-1, "")</f>
        <v/>
      </c>
      <c r="B23" s="15" t="inlineStr">
        <is>
          <t>Eagle</t>
        </is>
      </c>
      <c r="C23" s="15" t="inlineStr">
        <is>
          <t>Rodriguez</t>
        </is>
      </c>
      <c r="D23" s="15" t="inlineStr">
        <is>
          <t>Simmons</t>
        </is>
      </c>
      <c r="E23" s="15" t="inlineStr">
        <is>
          <t>Hobbins</t>
        </is>
      </c>
      <c r="F23" s="15" t="inlineStr">
        <is>
          <t>Martinez</t>
        </is>
      </c>
      <c r="G23" s="15" t="inlineStr">
        <is>
          <t>Stevens</t>
        </is>
      </c>
      <c r="H23" s="15" t="inlineStr">
        <is>
          <t>Spivey</t>
        </is>
      </c>
      <c r="I23" s="15" t="n"/>
    </row>
    <row r="24">
      <c r="A24" s="10">
        <f>IF(B24&lt;&gt;"", ROW()-1, "")</f>
        <v/>
      </c>
      <c r="B24" s="11" t="inlineStr">
        <is>
          <t>Sweep</t>
        </is>
      </c>
      <c r="C24" s="11" t="inlineStr">
        <is>
          <t>Phipps</t>
        </is>
      </c>
      <c r="D24" s="11" t="inlineStr">
        <is>
          <t>Simmons</t>
        </is>
      </c>
      <c r="E24" s="11" t="inlineStr">
        <is>
          <t>Woodward</t>
        </is>
      </c>
      <c r="F24" s="11" t="inlineStr">
        <is>
          <t>Spivey</t>
        </is>
      </c>
      <c r="G24" s="11" t="inlineStr">
        <is>
          <t>Dawson</t>
        </is>
      </c>
      <c r="H24" s="11" t="inlineStr">
        <is>
          <t>Hobbins</t>
        </is>
      </c>
      <c r="I24" s="11" t="n"/>
    </row>
    <row r="25">
      <c r="A25" s="10">
        <f>IF(B25&lt;&gt;"", ROW()-1, "")</f>
        <v/>
      </c>
      <c r="B25" s="11" t="inlineStr">
        <is>
          <t>Tick</t>
        </is>
      </c>
      <c r="C25" s="11" t="inlineStr">
        <is>
          <t>Phipps</t>
        </is>
      </c>
      <c r="D25" s="11" t="inlineStr">
        <is>
          <t>Simmons</t>
        </is>
      </c>
      <c r="E25" s="11" t="inlineStr">
        <is>
          <t>Woodward</t>
        </is>
      </c>
      <c r="F25" s="11" t="inlineStr">
        <is>
          <t>Spivey</t>
        </is>
      </c>
      <c r="G25" s="11" t="inlineStr">
        <is>
          <t>Dawson</t>
        </is>
      </c>
      <c r="H25" s="11" t="inlineStr">
        <is>
          <t>Hobbins</t>
        </is>
      </c>
      <c r="I25" s="11" t="n"/>
    </row>
    <row r="26">
      <c r="A26" s="10">
        <f>IF(B26&lt;&gt;"", ROW()-1, "")</f>
        <v/>
      </c>
      <c r="B26" s="11" t="inlineStr">
        <is>
          <t>Cross</t>
        </is>
      </c>
      <c r="C26" s="11" t="inlineStr">
        <is>
          <t>Phipps</t>
        </is>
      </c>
      <c r="D26" s="11" t="inlineStr">
        <is>
          <t>Simmons</t>
        </is>
      </c>
      <c r="E26" s="11" t="inlineStr">
        <is>
          <t>Woodward</t>
        </is>
      </c>
      <c r="F26" s="11" t="inlineStr">
        <is>
          <t>Spivey</t>
        </is>
      </c>
      <c r="G26" s="11" t="inlineStr">
        <is>
          <t>Dawson</t>
        </is>
      </c>
      <c r="H26" s="11" t="inlineStr">
        <is>
          <t>Hobbins</t>
        </is>
      </c>
      <c r="I26" s="11" t="n"/>
    </row>
    <row r="27">
      <c r="A27" s="10">
        <f>IF(B27&lt;&gt;"", ROW()-1, "")</f>
        <v/>
      </c>
      <c r="B27" s="11" t="inlineStr">
        <is>
          <t>Airplane Pass Option</t>
        </is>
      </c>
      <c r="C27" s="11" t="inlineStr">
        <is>
          <t>Phipps</t>
        </is>
      </c>
      <c r="D27" s="11" t="inlineStr">
        <is>
          <t>Simmons</t>
        </is>
      </c>
      <c r="E27" s="11" t="inlineStr">
        <is>
          <t>Woodward</t>
        </is>
      </c>
      <c r="F27" s="11" t="inlineStr">
        <is>
          <t>Spivey</t>
        </is>
      </c>
      <c r="G27" s="11" t="inlineStr">
        <is>
          <t>Dawson</t>
        </is>
      </c>
      <c r="H27" s="11" t="inlineStr">
        <is>
          <t>Hobbins</t>
        </is>
      </c>
      <c r="I27" s="11" t="n"/>
    </row>
    <row r="28">
      <c r="A28" s="12">
        <f>IF(B28&lt;&gt;"", ROW()-1, "")</f>
        <v/>
      </c>
      <c r="B28" s="13" t="inlineStr">
        <is>
          <t>Tick Tock</t>
        </is>
      </c>
      <c r="C28" s="13" t="inlineStr">
        <is>
          <t>Rodriguez</t>
        </is>
      </c>
      <c r="D28" s="13" t="inlineStr">
        <is>
          <t>Martinez</t>
        </is>
      </c>
      <c r="E28" s="13" t="inlineStr">
        <is>
          <t>Hobbins</t>
        </is>
      </c>
      <c r="F28" s="13" t="inlineStr">
        <is>
          <t>March</t>
        </is>
      </c>
      <c r="G28" s="13" t="inlineStr">
        <is>
          <t>Stevens</t>
        </is>
      </c>
      <c r="H28" s="13" t="inlineStr">
        <is>
          <t>Simmons</t>
        </is>
      </c>
      <c r="I28" s="13" t="n"/>
    </row>
    <row r="29">
      <c r="A29" s="12">
        <f>IF(B29&lt;&gt;"", ROW()-1, "")</f>
        <v/>
      </c>
      <c r="B29" s="13" t="inlineStr">
        <is>
          <t>Cross</t>
        </is>
      </c>
      <c r="C29" s="13" t="inlineStr">
        <is>
          <t>Rodriguez</t>
        </is>
      </c>
      <c r="D29" s="13" t="inlineStr">
        <is>
          <t>Martinez</t>
        </is>
      </c>
      <c r="E29" s="13" t="inlineStr">
        <is>
          <t>Hobbins</t>
        </is>
      </c>
      <c r="F29" s="13" t="inlineStr">
        <is>
          <t>March</t>
        </is>
      </c>
      <c r="G29" s="13" t="inlineStr">
        <is>
          <t>Stevens</t>
        </is>
      </c>
      <c r="H29" s="13" t="inlineStr">
        <is>
          <t>Simmons</t>
        </is>
      </c>
      <c r="I29" s="13" t="n"/>
    </row>
    <row r="30">
      <c r="A30" s="12">
        <f>IF(B30&lt;&gt;"", ROW()-1, "")</f>
        <v/>
      </c>
      <c r="B30" s="13" t="inlineStr">
        <is>
          <t>Circle Pass Option</t>
        </is>
      </c>
      <c r="C30" s="13" t="inlineStr">
        <is>
          <t>Rodriguez</t>
        </is>
      </c>
      <c r="D30" s="13" t="inlineStr">
        <is>
          <t>Martinez</t>
        </is>
      </c>
      <c r="E30" s="13" t="inlineStr">
        <is>
          <t>Hobbins</t>
        </is>
      </c>
      <c r="F30" s="13" t="inlineStr">
        <is>
          <t>March</t>
        </is>
      </c>
      <c r="G30" s="13" t="inlineStr">
        <is>
          <t>Stevens</t>
        </is>
      </c>
      <c r="H30" s="13" t="inlineStr">
        <is>
          <t>Simmons</t>
        </is>
      </c>
      <c r="I30" s="13" t="n"/>
    </row>
    <row r="31">
      <c r="A31" s="12">
        <f>IF(B31&lt;&gt;"", ROW()-1, "")</f>
        <v/>
      </c>
      <c r="B31" s="13" t="inlineStr">
        <is>
          <t>Sweep</t>
        </is>
      </c>
      <c r="C31" s="13" t="inlineStr">
        <is>
          <t>Rodriguez</t>
        </is>
      </c>
      <c r="D31" s="13" t="inlineStr">
        <is>
          <t>Martinez</t>
        </is>
      </c>
      <c r="E31" s="13" t="inlineStr">
        <is>
          <t>Hobbins</t>
        </is>
      </c>
      <c r="F31" s="13" t="inlineStr">
        <is>
          <t>March</t>
        </is>
      </c>
      <c r="G31" s="13" t="inlineStr">
        <is>
          <t>Stevens</t>
        </is>
      </c>
      <c r="H31" s="13" t="inlineStr">
        <is>
          <t>Simmons</t>
        </is>
      </c>
      <c r="I31" s="13" t="n"/>
    </row>
    <row r="32">
      <c r="A32" s="2">
        <f>IF(B32&lt;&gt;"", ROW()-1, "")</f>
        <v/>
      </c>
    </row>
    <row r="33">
      <c r="A33" s="2">
        <f>IF(B33&lt;&gt;"", ROW()-1, "")</f>
        <v/>
      </c>
    </row>
    <row r="34">
      <c r="A34" s="2">
        <f>IF(B34&lt;&gt;"", ROW()-1, "")</f>
        <v/>
      </c>
    </row>
    <row r="35">
      <c r="A35" s="2">
        <f>IF(B35&lt;&gt;"", ROW()-1, "")</f>
        <v/>
      </c>
    </row>
    <row r="36">
      <c r="A36" s="2">
        <f>IF(B36&lt;&gt;"", ROW()-1, "")</f>
        <v/>
      </c>
    </row>
    <row r="37">
      <c r="A37" s="2">
        <f>IF(B37&lt;&gt;"", ROW()-1, "")</f>
        <v/>
      </c>
    </row>
    <row r="38">
      <c r="A38" s="2">
        <f>IF(B38&lt;&gt;"", ROW()-1, "")</f>
        <v/>
      </c>
    </row>
    <row r="39">
      <c r="A39" s="2">
        <f>IF(B39&lt;&gt;"", ROW()-1, "")</f>
        <v/>
      </c>
    </row>
    <row r="40">
      <c r="A40" s="2">
        <f>IF(B40&lt;&gt;"", ROW()-1, "")</f>
        <v/>
      </c>
    </row>
    <row r="41">
      <c r="A41" s="2">
        <f>IF(B41&lt;&gt;"", ROW()-1, "")</f>
        <v/>
      </c>
    </row>
    <row r="42">
      <c r="A42" s="2">
        <f>IF(B42&lt;&gt;"", ROW()-1, "")</f>
        <v/>
      </c>
    </row>
    <row r="43">
      <c r="A43" s="2">
        <f>IF(B43&lt;&gt;"", ROW()-1, "")</f>
        <v/>
      </c>
    </row>
    <row r="44">
      <c r="A44" s="2">
        <f>IF(B44&lt;&gt;"", ROW()-1, "")</f>
        <v/>
      </c>
    </row>
    <row r="45">
      <c r="A45" s="2">
        <f>IF(B45&lt;&gt;"", ROW()-1, "")</f>
        <v/>
      </c>
    </row>
    <row r="46">
      <c r="A46" s="2">
        <f>IF(B46&lt;&gt;"", ROW()-1, "")</f>
        <v/>
      </c>
    </row>
    <row r="47">
      <c r="A47" s="2">
        <f>IF(B47&lt;&gt;"", ROW()-1, "")</f>
        <v/>
      </c>
    </row>
    <row r="48">
      <c r="A48" s="2">
        <f>IF(B48&lt;&gt;"", ROW()-1, "")</f>
        <v/>
      </c>
    </row>
    <row r="49">
      <c r="A49" s="2">
        <f>IF(B49&lt;&gt;"", ROW()-1, "")</f>
        <v/>
      </c>
    </row>
    <row r="50">
      <c r="A50" s="2">
        <f>IF(B50&lt;&gt;"", ROW()-1, "")</f>
        <v/>
      </c>
    </row>
    <row r="51">
      <c r="A51" s="2">
        <f>IF(B51&lt;&gt;"", ROW()-1, "")</f>
        <v/>
      </c>
    </row>
  </sheetData>
  <dataValidations count="6">
    <dataValidation sqref="C2:C51" showDropDown="0" showInputMessage="0" showErrorMessage="1" allowBlank="1" errorTitle="Invalid Player" error="Select a player eligible for C position" promptTitle="C Position" prompt="Choose from: Hobbins,March,Phipps,Rodriguez" type="list">
      <formula1>"Hobbins,March,Phipps,Rodriguez"</formula1>
    </dataValidation>
    <dataValidation sqref="D2:D51" showDropDown="0" showInputMessage="0" showErrorMessage="1" allowBlank="1" errorTitle="Invalid Player" error="Select a player eligible for Q position" promptTitle="Q Position" prompt="Choose from: Martinez,Simmons" type="list">
      <formula1>"Martinez,Simmons"</formula1>
    </dataValidation>
    <dataValidation sqref="E2:E51" showDropDown="0" showInputMessage="0" showErrorMessage="1" allowBlank="1" errorTitle="Invalid Player" error="Select a player eligible for W position" promptTitle="W Position" prompt="Choose from: Martinez,Simmons,Spivey,Stevens" type="list">
      <formula1>"Martinez,Simmons,Spivey,Stevens"</formula1>
    </dataValidation>
    <dataValidation sqref="F2:F51" showDropDown="0" showInputMessage="0" showErrorMessage="1" allowBlank="1" errorTitle="Invalid Player" error="Select a player eligible for X position" promptTitle="X Position" prompt="Choose from: Dawson,Martinez,Simmons,Woodward" type="list">
      <formula1>"Dawson,Martinez,Simmons,Woodward"</formula1>
    </dataValidation>
    <dataValidation sqref="G2:G51" showDropDown="0" showInputMessage="0" showErrorMessage="1" allowBlank="1" errorTitle="Invalid Player" error="Select a player eligible for Y position" promptTitle="Y Position" prompt="Choose from: Dawson,Spivey,Stevens,Woodward" type="list">
      <formula1>"Dawson,Spivey,Stevens,Woodward"</formula1>
    </dataValidation>
    <dataValidation sqref="H2:H51" showDropDown="0" showInputMessage="0" showErrorMessage="1" allowBlank="1" errorTitle="Invalid Player" error="Select a player eligible for Z position" promptTitle="Z Position" prompt="Choose from: Hobbins,March,Martinez,Phipps,Simmons" type="list">
      <formula1>"Hobbins,March,Martinez,Phipps,Simmons"</formula1>
    </dataValidation>
  </dataValidations>
  <pageMargins left="0.75" right="0.75" top="1" bottom="1" header="0.5" footer="0.5"/>
  <pageSetup orientation="portrait" scale="51" horizontalDpi="0" verticalDpi="0" copies="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10" defaultColWidth="8.83203125" defaultRowHeight="15"/>
  <cols>
    <col width="20" customWidth="1" style="17" min="1" max="1"/>
    <col width="10" customWidth="1" style="17" min="2" max="2"/>
    <col width="20" customWidth="1" style="17" min="3" max="3"/>
    <col width="12" customWidth="1" style="17" min="4" max="4"/>
    <col width="11" customWidth="1" style="17" min="5" max="10"/>
  </cols>
  <sheetData>
    <row r="1" ht="16" customHeight="1" s="17">
      <c r="A1" s="9" t="inlineStr">
        <is>
          <t>Player Name</t>
        </is>
      </c>
      <c r="B1" s="9" t="inlineStr">
        <is>
          <t>Jersey #</t>
        </is>
      </c>
      <c r="C1" s="9" t="inlineStr">
        <is>
          <t>Available Positions</t>
        </is>
      </c>
      <c r="D1" s="9" t="inlineStr">
        <is>
          <t>Total Plays</t>
        </is>
      </c>
      <c r="E1" s="9" t="inlineStr">
        <is>
          <t>Times at C</t>
        </is>
      </c>
      <c r="F1" s="9" t="inlineStr">
        <is>
          <t>Times at Q</t>
        </is>
      </c>
      <c r="G1" s="9" t="inlineStr">
        <is>
          <t>Times at W</t>
        </is>
      </c>
      <c r="H1" s="9" t="inlineStr">
        <is>
          <t>Times at X</t>
        </is>
      </c>
      <c r="I1" s="9" t="inlineStr">
        <is>
          <t>Times at Y</t>
        </is>
      </c>
      <c r="J1" s="9" t="inlineStr">
        <is>
          <t>Times at Z</t>
        </is>
      </c>
    </row>
    <row r="2" ht="16" customHeight="1" s="17">
      <c r="A2" t="inlineStr">
        <is>
          <t>Michael Dawson</t>
        </is>
      </c>
      <c r="B2" s="3" t="n">
        <v>73</v>
      </c>
      <c r="C2" s="3" t="inlineStr">
        <is>
          <t>X,Y</t>
        </is>
      </c>
      <c r="D2" s="4">
        <f>COUNTIF('Play Calls'!C:C,"*Dawson*")+COUNTIF('Play Calls'!D:D,"*Dawson*")+COUNTIF('Play Calls'!E:E,"*Dawson*")+COUNTIF('Play Calls'!F:F,"*Dawson*")+COUNTIF('Play Calls'!G:G,"*Dawson*")+COUNTIF('Play Calls'!H:H,"*Dawson*")</f>
        <v/>
      </c>
      <c r="E2" s="3">
        <f>COUNTIF('Play Calls'!C:C,"*Dawson*")</f>
        <v/>
      </c>
      <c r="F2" s="3">
        <f>COUNTIF('Play Calls'!D:D,"*Dawson*")</f>
        <v/>
      </c>
      <c r="G2" s="3">
        <f>COUNTIF('Play Calls'!E:E,"*Dawson*")</f>
        <v/>
      </c>
      <c r="H2" s="3">
        <f>COUNTIF('Play Calls'!F:F,"*Dawson*")</f>
        <v/>
      </c>
      <c r="I2" s="3">
        <f>COUNTIF('Play Calls'!G:G,"*Dawson*")</f>
        <v/>
      </c>
      <c r="J2" s="3">
        <f>COUNTIF('Play Calls'!H:H,"*Dawson*")</f>
        <v/>
      </c>
    </row>
    <row r="3" ht="16" customHeight="1" s="17">
      <c r="A3" t="inlineStr">
        <is>
          <t>Joshua Hobbins</t>
        </is>
      </c>
      <c r="B3" s="3" t="n">
        <v>0</v>
      </c>
      <c r="C3" s="3" t="inlineStr">
        <is>
          <t>C,Z</t>
        </is>
      </c>
      <c r="D3" s="4">
        <f>COUNTIF('Play Calls'!C:C,"*Hobbins*")+COUNTIF('Play Calls'!D:D,"*Hobbins*")+COUNTIF('Play Calls'!E:E,"*Hobbins*")+COUNTIF('Play Calls'!F:F,"*Hobbins*")+COUNTIF('Play Calls'!G:G,"*Hobbins*")+COUNTIF('Play Calls'!H:H,"*Hobbins*")</f>
        <v/>
      </c>
      <c r="E3" s="3">
        <f>COUNTIF('Play Calls'!C:C,"*Hobbins*")</f>
        <v/>
      </c>
      <c r="F3" s="3">
        <f>COUNTIF('Play Calls'!D:D,"*Hobbins*")</f>
        <v/>
      </c>
      <c r="G3" s="3">
        <f>COUNTIF('Play Calls'!E:E,"*Hobbins*")</f>
        <v/>
      </c>
      <c r="H3" s="3">
        <f>COUNTIF('Play Calls'!F:F,"*Hobbins*")</f>
        <v/>
      </c>
      <c r="I3" s="3">
        <f>COUNTIF('Play Calls'!G:G,"*Hobbins*")</f>
        <v/>
      </c>
      <c r="J3" s="3">
        <f>COUNTIF('Play Calls'!H:H,"*Hobbins*")</f>
        <v/>
      </c>
    </row>
    <row r="4" ht="16" customHeight="1" s="17">
      <c r="A4" t="inlineStr">
        <is>
          <t>Sawyer March</t>
        </is>
      </c>
      <c r="B4" s="3" t="n">
        <v>6</v>
      </c>
      <c r="C4" s="3" t="inlineStr">
        <is>
          <t>C,Z</t>
        </is>
      </c>
      <c r="D4" s="4">
        <f>COUNTIF('Play Calls'!C:C,"*March*")+COUNTIF('Play Calls'!D:D,"*March*")+COUNTIF('Play Calls'!E:E,"*March*")+COUNTIF('Play Calls'!F:F,"*March*")+COUNTIF('Play Calls'!G:G,"*March*")+COUNTIF('Play Calls'!H:H,"*March*")</f>
        <v/>
      </c>
      <c r="E4" s="3">
        <f>COUNTIF('Play Calls'!C:C,"*March*")</f>
        <v/>
      </c>
      <c r="F4" s="3">
        <f>COUNTIF('Play Calls'!D:D,"*March*")</f>
        <v/>
      </c>
      <c r="G4" s="3">
        <f>COUNTIF('Play Calls'!E:E,"*March*")</f>
        <v/>
      </c>
      <c r="H4" s="3">
        <f>COUNTIF('Play Calls'!F:F,"*March*")</f>
        <v/>
      </c>
      <c r="I4" s="3">
        <f>COUNTIF('Play Calls'!G:G,"*March*")</f>
        <v/>
      </c>
      <c r="J4" s="3">
        <f>COUNTIF('Play Calls'!H:H,"*March*")</f>
        <v/>
      </c>
    </row>
    <row r="5" ht="16" customHeight="1" s="17">
      <c r="A5" t="inlineStr">
        <is>
          <t>Andrew Martinez</t>
        </is>
      </c>
      <c r="B5" s="3" t="n">
        <v>23</v>
      </c>
      <c r="C5" s="3" t="inlineStr">
        <is>
          <t>Q,W,Z,X</t>
        </is>
      </c>
      <c r="D5" s="4">
        <f>COUNTIF('Play Calls'!C:C,"*Martinez*")+COUNTIF('Play Calls'!D:D,"*Martinez*")+COUNTIF('Play Calls'!E:E,"*Martinez*")+COUNTIF('Play Calls'!F:F,"*Martinez*")+COUNTIF('Play Calls'!G:G,"*Martinez*")+COUNTIF('Play Calls'!H:H,"*Martinez*")</f>
        <v/>
      </c>
      <c r="E5" s="3">
        <f>COUNTIF('Play Calls'!C:C,"*Martinez*")</f>
        <v/>
      </c>
      <c r="F5" s="3">
        <f>COUNTIF('Play Calls'!D:D,"*Martinez*")</f>
        <v/>
      </c>
      <c r="G5" s="3">
        <f>COUNTIF('Play Calls'!E:E,"*Martinez*")</f>
        <v/>
      </c>
      <c r="H5" s="3">
        <f>COUNTIF('Play Calls'!F:F,"*Martinez*")</f>
        <v/>
      </c>
      <c r="I5" s="3">
        <f>COUNTIF('Play Calls'!G:G,"*Martinez*")</f>
        <v/>
      </c>
      <c r="J5" s="3">
        <f>COUNTIF('Play Calls'!H:H,"*Martinez*")</f>
        <v/>
      </c>
    </row>
    <row r="6" ht="16" customHeight="1" s="17">
      <c r="A6" t="inlineStr">
        <is>
          <t>Liam Phipps</t>
        </is>
      </c>
      <c r="B6" s="3" t="n">
        <v>16</v>
      </c>
      <c r="C6" s="3" t="inlineStr">
        <is>
          <t>C,Z</t>
        </is>
      </c>
      <c r="D6" s="4">
        <f>COUNTIF('Play Calls'!C:C,"*Phipps*")+COUNTIF('Play Calls'!D:D,"*Phipps*")+COUNTIF('Play Calls'!E:E,"*Phipps*")+COUNTIF('Play Calls'!F:F,"*Phipps*")+COUNTIF('Play Calls'!G:G,"*Phipps*")+COUNTIF('Play Calls'!H:H,"*Phipps*")</f>
        <v/>
      </c>
      <c r="E6" s="3">
        <f>COUNTIF('Play Calls'!C:C,"*Phipps*")</f>
        <v/>
      </c>
      <c r="F6" s="3">
        <f>COUNTIF('Play Calls'!D:D,"*Phipps*")</f>
        <v/>
      </c>
      <c r="G6" s="3">
        <f>COUNTIF('Play Calls'!E:E,"*Phipps*")</f>
        <v/>
      </c>
      <c r="H6" s="3">
        <f>COUNTIF('Play Calls'!F:F,"*Phipps*")</f>
        <v/>
      </c>
      <c r="I6" s="3">
        <f>COUNTIF('Play Calls'!G:G,"*Phipps*")</f>
        <v/>
      </c>
      <c r="J6" s="3">
        <f>COUNTIF('Play Calls'!H:H,"*Phipps*")</f>
        <v/>
      </c>
    </row>
    <row r="7" ht="16" customHeight="1" s="17">
      <c r="A7" t="inlineStr">
        <is>
          <t>Agustus Rodriguez</t>
        </is>
      </c>
      <c r="B7" s="3" t="n">
        <v>2</v>
      </c>
      <c r="C7" s="3" t="inlineStr">
        <is>
          <t>C</t>
        </is>
      </c>
      <c r="D7" s="4">
        <f>COUNTIF('Play Calls'!C:C,"*Rodriguez*")+COUNTIF('Play Calls'!D:D,"*Rodriguez*")+COUNTIF('Play Calls'!E:E,"*Rodriguez*")+COUNTIF('Play Calls'!F:F,"*Rodriguez*")+COUNTIF('Play Calls'!G:G,"*Rodriguez*")+COUNTIF('Play Calls'!H:H,"*Rodriguez*")</f>
        <v/>
      </c>
      <c r="E7" s="3">
        <f>COUNTIF('Play Calls'!C:C,"*Rodriguez*")</f>
        <v/>
      </c>
      <c r="F7" s="3">
        <f>COUNTIF('Play Calls'!D:D,"*Rodriguez*")</f>
        <v/>
      </c>
      <c r="G7" s="3">
        <f>COUNTIF('Play Calls'!E:E,"*Rodriguez*")</f>
        <v/>
      </c>
      <c r="H7" s="3">
        <f>COUNTIF('Play Calls'!F:F,"*Rodriguez*")</f>
        <v/>
      </c>
      <c r="I7" s="3">
        <f>COUNTIF('Play Calls'!G:G,"*Rodriguez*")</f>
        <v/>
      </c>
      <c r="J7" s="3">
        <f>COUNTIF('Play Calls'!H:H,"*Rodriguez*")</f>
        <v/>
      </c>
    </row>
    <row r="8" ht="16" customHeight="1" s="17">
      <c r="A8" t="inlineStr">
        <is>
          <t>Wesley Simmons</t>
        </is>
      </c>
      <c r="B8" s="3" t="n">
        <v>12</v>
      </c>
      <c r="C8" s="3" t="inlineStr">
        <is>
          <t>Q,W,Z,X</t>
        </is>
      </c>
      <c r="D8" s="4">
        <f>COUNTIF('Play Calls'!C:C,"*Simmons*")+COUNTIF('Play Calls'!D:D,"*Simmons*")+COUNTIF('Play Calls'!E:E,"*Simmons*")+COUNTIF('Play Calls'!F:F,"*Simmons*")+COUNTIF('Play Calls'!G:G,"*Simmons*")+COUNTIF('Play Calls'!H:H,"*Simmons*")</f>
        <v/>
      </c>
      <c r="E8" s="3">
        <f>COUNTIF('Play Calls'!C:C,"*Simmons*")</f>
        <v/>
      </c>
      <c r="F8" s="3">
        <f>COUNTIF('Play Calls'!D:D,"*Simmons*")</f>
        <v/>
      </c>
      <c r="G8" s="3">
        <f>COUNTIF('Play Calls'!E:E,"*Simmons*")</f>
        <v/>
      </c>
      <c r="H8" s="3">
        <f>COUNTIF('Play Calls'!F:F,"*Simmons*")</f>
        <v/>
      </c>
      <c r="I8" s="3">
        <f>COUNTIF('Play Calls'!G:G,"*Simmons*")</f>
        <v/>
      </c>
      <c r="J8" s="3">
        <f>COUNTIF('Play Calls'!H:H,"*Simmons*")</f>
        <v/>
      </c>
    </row>
    <row r="9" ht="16" customHeight="1" s="17">
      <c r="A9" t="inlineStr">
        <is>
          <t>Caleb Spivey</t>
        </is>
      </c>
      <c r="B9" s="3" t="n">
        <v>10</v>
      </c>
      <c r="C9" s="3" t="inlineStr">
        <is>
          <t>W,Y</t>
        </is>
      </c>
      <c r="D9" s="4">
        <f>COUNTIF('Play Calls'!C:C,"*Spivey*")+COUNTIF('Play Calls'!D:D,"*Spivey*")+COUNTIF('Play Calls'!E:E,"*Spivey*")+COUNTIF('Play Calls'!F:F,"*Spivey*")+COUNTIF('Play Calls'!G:G,"*Spivey*")+COUNTIF('Play Calls'!H:H,"*Spivey*")</f>
        <v/>
      </c>
      <c r="E9" s="3">
        <f>COUNTIF('Play Calls'!C:C,"*Spivey*")</f>
        <v/>
      </c>
      <c r="F9" s="3">
        <f>COUNTIF('Play Calls'!D:D,"*Spivey*")</f>
        <v/>
      </c>
      <c r="G9" s="3">
        <f>COUNTIF('Play Calls'!E:E,"*Spivey*")</f>
        <v/>
      </c>
      <c r="H9" s="3">
        <f>COUNTIF('Play Calls'!F:F,"*Spivey*")</f>
        <v/>
      </c>
      <c r="I9" s="3">
        <f>COUNTIF('Play Calls'!G:G,"*Spivey*")</f>
        <v/>
      </c>
      <c r="J9" s="3">
        <f>COUNTIF('Play Calls'!H:H,"*Spivey*")</f>
        <v/>
      </c>
    </row>
    <row r="10" ht="16" customHeight="1" s="17">
      <c r="A10" t="inlineStr">
        <is>
          <t>Carter Stevens</t>
        </is>
      </c>
      <c r="B10" s="3" t="n">
        <v>8</v>
      </c>
      <c r="C10" s="3" t="inlineStr">
        <is>
          <t>W,Y</t>
        </is>
      </c>
      <c r="D10" s="4">
        <f>COUNTIF('Play Calls'!C:C,"*Stevens*")+COUNTIF('Play Calls'!D:D,"*Stevens*")+COUNTIF('Play Calls'!E:E,"*Stevens*")+COUNTIF('Play Calls'!F:F,"*Stevens*")+COUNTIF('Play Calls'!G:G,"*Stevens*")+COUNTIF('Play Calls'!H:H,"*Stevens*")</f>
        <v/>
      </c>
      <c r="E10" s="3">
        <f>COUNTIF('Play Calls'!C:C,"*Stevens*")</f>
        <v/>
      </c>
      <c r="F10" s="3">
        <f>COUNTIF('Play Calls'!D:D,"*Stevens*")</f>
        <v/>
      </c>
      <c r="G10" s="3">
        <f>COUNTIF('Play Calls'!E:E,"*Stevens*")</f>
        <v/>
      </c>
      <c r="H10" s="3">
        <f>COUNTIF('Play Calls'!F:F,"*Stevens*")</f>
        <v/>
      </c>
      <c r="I10" s="3">
        <f>COUNTIF('Play Calls'!G:G,"*Stevens*")</f>
        <v/>
      </c>
      <c r="J10" s="3">
        <f>COUNTIF('Play Calls'!H:H,"*Stevens*")</f>
        <v/>
      </c>
    </row>
    <row r="11" ht="16" customHeight="1" s="17">
      <c r="A11" t="inlineStr">
        <is>
          <t>Parker Woodward</t>
        </is>
      </c>
      <c r="B11" s="3" t="n">
        <v>20</v>
      </c>
      <c r="C11" s="3" t="inlineStr">
        <is>
          <t>X,Y</t>
        </is>
      </c>
      <c r="D11" s="4">
        <f>COUNTIF('Play Calls'!C:C,"*Woodward*")+COUNTIF('Play Calls'!D:D,"*Woodward*")+COUNTIF('Play Calls'!E:E,"*Woodward*")+COUNTIF('Play Calls'!F:F,"*Woodward*")+COUNTIF('Play Calls'!G:G,"*Woodward*")+COUNTIF('Play Calls'!H:H,"*Woodward*")</f>
        <v/>
      </c>
      <c r="E11" s="3">
        <f>COUNTIF('Play Calls'!C:C,"*Woodward*")</f>
        <v/>
      </c>
      <c r="F11" s="3">
        <f>COUNTIF('Play Calls'!D:D,"*Woodward*")</f>
        <v/>
      </c>
      <c r="G11" s="3">
        <f>COUNTIF('Play Calls'!E:E,"*Woodward*")</f>
        <v/>
      </c>
      <c r="H11" s="3">
        <f>COUNTIF('Play Calls'!F:F,"*Woodward*")</f>
        <v/>
      </c>
      <c r="I11" s="3">
        <f>COUNTIF('Play Calls'!G:G,"*Woodward*")</f>
        <v/>
      </c>
      <c r="J11" s="3">
        <f>COUNTIF('Play Calls'!H:H,"*Woodward*")</f>
        <v/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:D1"/>
    </sheetView>
  </sheetViews>
  <sheetFormatPr baseColWidth="10" defaultColWidth="8.83203125" defaultRowHeight="15"/>
  <cols>
    <col width="25" customWidth="1" style="17" min="1" max="1"/>
    <col width="12" customWidth="1" style="17" min="2" max="2"/>
  </cols>
  <sheetData>
    <row r="1" ht="21" customHeight="1" s="17">
      <c r="A1" s="16" t="inlineStr">
        <is>
          <t>Game Summary Dashboard</t>
        </is>
      </c>
    </row>
    <row r="3" ht="19" customHeight="1" s="17">
      <c r="A3" s="5" t="inlineStr">
        <is>
          <t>Total Plays Called:</t>
        </is>
      </c>
      <c r="B3" s="6">
        <f>COUNTA('Play Calls'!B:B)-1</f>
        <v/>
      </c>
    </row>
    <row r="4" ht="16" customHeight="1" s="17">
      <c r="A4" s="5" t="inlineStr">
        <is>
          <t>Most Active Player:</t>
        </is>
      </c>
      <c r="B4" s="7">
        <f>IFERROR(INDEX(Stats!A:A,MATCH(MAX(Stats!D:D),Stats!D:D,0)),"")</f>
        <v/>
      </c>
    </row>
    <row r="5" ht="16" customHeight="1" s="17">
      <c r="A5" s="5" t="inlineStr">
        <is>
          <t>Most Used Play:</t>
        </is>
      </c>
      <c r="B5" s="7">
        <f>IFERROR(INDEX('Play Calls'!B:B,MODE(MATCH('Play Calls'!B2:B51,'Play Calls'!B2:B51,0))+1),"")</f>
        <v/>
      </c>
    </row>
    <row r="7" ht="16" customHeight="1" s="17">
      <c r="A7" s="8" t="inlineStr">
        <is>
          <t>Play Breakdown:</t>
        </is>
      </c>
    </row>
    <row r="8">
      <c r="A8" t="inlineStr">
        <is>
          <t>Tick</t>
        </is>
      </c>
      <c r="B8" s="3">
        <f>COUNTIF('Play Calls'!B:B,"Tick")</f>
        <v/>
      </c>
    </row>
    <row r="9">
      <c r="A9" t="inlineStr">
        <is>
          <t>Tick Tock</t>
        </is>
      </c>
      <c r="B9" s="3">
        <f>COUNTIF('Play Calls'!B:B,"Tick Tock")</f>
        <v/>
      </c>
    </row>
    <row r="10">
      <c r="A10" t="inlineStr">
        <is>
          <t>Circle Pass Option</t>
        </is>
      </c>
      <c r="B10" s="3">
        <f>COUNTIF('Play Calls'!B:B,"Circle Pass Option")</f>
        <v/>
      </c>
    </row>
    <row r="11">
      <c r="A11" t="inlineStr">
        <is>
          <t>Circle Run Option</t>
        </is>
      </c>
      <c r="B11" s="3">
        <f>COUNTIF('Play Calls'!B:B,"Circle Run Option")</f>
        <v/>
      </c>
    </row>
    <row r="12">
      <c r="A12" t="inlineStr">
        <is>
          <t>Eagle</t>
        </is>
      </c>
      <c r="B12" s="3">
        <f>COUNTIF('Play Calls'!B:B,"Eagle")</f>
        <v/>
      </c>
    </row>
    <row r="13">
      <c r="A13" t="inlineStr">
        <is>
          <t>Airplane Pass Option</t>
        </is>
      </c>
      <c r="B13" s="3">
        <f>COUNTIF('Play Calls'!B:B,"Airplane Pass Option")</f>
        <v/>
      </c>
    </row>
    <row r="14">
      <c r="A14" t="inlineStr">
        <is>
          <t>Sweep</t>
        </is>
      </c>
      <c r="B14" s="3">
        <f>COUNTIF('Play Calls'!B:B,"Sweep")</f>
        <v/>
      </c>
    </row>
    <row r="15">
      <c r="A15" t="inlineStr">
        <is>
          <t>Cross</t>
        </is>
      </c>
      <c r="B15" s="3">
        <f>COUNTIF('Play Calls'!B:B,"Cross")</f>
        <v/>
      </c>
    </row>
  </sheetData>
  <mergeCells count="1">
    <mergeCell ref="A1:D1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 Players</t>
        </is>
      </c>
      <c r="B1" t="inlineStr">
        <is>
          <t>Q Players</t>
        </is>
      </c>
      <c r="C1" t="inlineStr">
        <is>
          <t>W Players</t>
        </is>
      </c>
      <c r="D1" t="inlineStr">
        <is>
          <t>X Players</t>
        </is>
      </c>
      <c r="E1" t="inlineStr">
        <is>
          <t>Y Players</t>
        </is>
      </c>
      <c r="F1" t="inlineStr">
        <is>
          <t>Z Players</t>
        </is>
      </c>
    </row>
    <row r="2">
      <c r="A2" t="inlineStr">
        <is>
          <t>Hobbins</t>
        </is>
      </c>
      <c r="B2" t="inlineStr">
        <is>
          <t>Martinez</t>
        </is>
      </c>
      <c r="C2" t="inlineStr">
        <is>
          <t>Martinez</t>
        </is>
      </c>
      <c r="D2" t="inlineStr">
        <is>
          <t>Dawson</t>
        </is>
      </c>
      <c r="E2" t="inlineStr">
        <is>
          <t>Dawson</t>
        </is>
      </c>
      <c r="F2" t="inlineStr">
        <is>
          <t>Hobbins</t>
        </is>
      </c>
    </row>
    <row r="3">
      <c r="A3" t="inlineStr">
        <is>
          <t>March</t>
        </is>
      </c>
      <c r="B3" t="inlineStr">
        <is>
          <t>Simmons</t>
        </is>
      </c>
      <c r="C3" t="inlineStr">
        <is>
          <t>Simmons</t>
        </is>
      </c>
      <c r="D3" t="inlineStr">
        <is>
          <t>Martinez</t>
        </is>
      </c>
      <c r="E3" t="inlineStr">
        <is>
          <t>Spivey</t>
        </is>
      </c>
      <c r="F3" t="inlineStr">
        <is>
          <t>March</t>
        </is>
      </c>
    </row>
    <row r="4">
      <c r="A4" t="inlineStr">
        <is>
          <t>Phipps</t>
        </is>
      </c>
      <c r="C4" t="inlineStr">
        <is>
          <t>Spivey</t>
        </is>
      </c>
      <c r="D4" t="inlineStr">
        <is>
          <t>Simmons</t>
        </is>
      </c>
      <c r="E4" t="inlineStr">
        <is>
          <t>Stevens</t>
        </is>
      </c>
      <c r="F4" t="inlineStr">
        <is>
          <t>Martinez</t>
        </is>
      </c>
    </row>
    <row r="5">
      <c r="A5" t="inlineStr">
        <is>
          <t>Rodriguez</t>
        </is>
      </c>
      <c r="C5" t="inlineStr">
        <is>
          <t>Stevens</t>
        </is>
      </c>
      <c r="D5" t="inlineStr">
        <is>
          <t>Woodward</t>
        </is>
      </c>
      <c r="E5" t="inlineStr">
        <is>
          <t>Woodward</t>
        </is>
      </c>
      <c r="F5" t="inlineStr">
        <is>
          <t>Phipps</t>
        </is>
      </c>
    </row>
    <row r="6">
      <c r="F6" t="inlineStr">
        <is>
          <t>Simmons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2026-01-17T16:21:33Z</dcterms:created>
  <dcterms:modified xmlns:dcterms="http://purl.org/dc/terms/" xmlns:xsi="http://www.w3.org/2001/XMLSchema-instance" xsi:type="dcterms:W3CDTF">2026-01-31T17:40:33Z</dcterms:modified>
  <cp:lastModifiedBy>Brian Dawson</cp:lastModifiedBy>
  <cp:lastPrinted>2026-01-27T23:05:24Z</cp:lastPrinted>
</cp:coreProperties>
</file>