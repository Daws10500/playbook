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/>
  <xr:revisionPtr revIDLastSave="0" documentId="13_ncr:41000001_{02BA6985-DBB1-3B43-863B-F11141926E8C}" xr6:coauthVersionLast="47" xr6:coauthVersionMax="47" xr10:uidLastSave="{00000000-0000-0000-0000-000000000000}"/>
  <bookViews>
    <workbookView xWindow="0" yWindow="0" windowWidth="16384" windowHeight="8192" tabRatio="500" activeTab="7" xr2:uid="{00000000-000D-0000-FFFF-FFFF00000000}"/>
  </bookViews>
  <sheets>
    <sheet name="Players &amp; Positions" sheetId="1" r:id="rId1"/>
    <sheet name="Play Calls" sheetId="2" r:id="rId2"/>
    <sheet name="Stats" sheetId="3" r:id="rId3"/>
    <sheet name="Game Summary" sheetId="4" r:id="rId4"/>
    <sheet name="Dropdown Lists" sheetId="5" state="hidden" r:id="rId5"/>
    <sheet name="Play Diagrams" sheetId="6" r:id="rId6"/>
    <sheet name="Play Position Reference" sheetId="7" r:id="rId7"/>
    <sheet name="Game Plan - 30 Plays" sheetId="8" r:id="rId8"/>
    <sheet name="PlayViewer" sheetId="9" r:id="rId9"/>
  </sheets>
  <externalReferences>
    <externalReference r:id="rId10"/>
  </externalReferences>
  <definedNames>
    <definedName name="JumpTable">'[1]play viewer'!$H$2:$I$10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A8" i="9"/>
  <c r="E7" i="9"/>
  <c r="B7" i="9"/>
  <c r="F6" i="9"/>
  <c r="E6" i="9"/>
  <c r="D6" i="9"/>
  <c r="C6" i="9"/>
  <c r="B6" i="9"/>
  <c r="A6" i="9"/>
  <c r="D4" i="9"/>
  <c r="R35" i="8"/>
  <c r="V33" i="8"/>
  <c r="V32" i="8"/>
  <c r="S32" i="8"/>
  <c r="W31" i="8"/>
  <c r="U31" i="8"/>
  <c r="S31" i="8"/>
  <c r="T6" i="8"/>
  <c r="U6" i="8"/>
  <c r="V6" i="8"/>
  <c r="W6" i="8"/>
  <c r="T7" i="8"/>
  <c r="U7" i="8"/>
  <c r="V7" i="8"/>
  <c r="W7" i="8"/>
  <c r="T8" i="8"/>
  <c r="U8" i="8"/>
  <c r="V8" i="8"/>
  <c r="W8" i="8"/>
  <c r="T9" i="8"/>
  <c r="U9" i="8"/>
  <c r="V9" i="8"/>
  <c r="W9" i="8"/>
  <c r="T10" i="8"/>
  <c r="U10" i="8"/>
  <c r="V10" i="8"/>
  <c r="W10" i="8"/>
  <c r="T11" i="8"/>
  <c r="U11" i="8"/>
  <c r="V11" i="8"/>
  <c r="W11" i="8"/>
  <c r="T12" i="8"/>
  <c r="U12" i="8"/>
  <c r="V12" i="8"/>
  <c r="W12" i="8"/>
  <c r="T13" i="8"/>
  <c r="U13" i="8"/>
  <c r="V13" i="8"/>
  <c r="W13" i="8"/>
  <c r="T14" i="8"/>
  <c r="U14" i="8"/>
  <c r="V14" i="8"/>
  <c r="W14" i="8"/>
  <c r="T22" i="8"/>
  <c r="T21" i="8"/>
  <c r="S14" i="8"/>
  <c r="S13" i="8"/>
  <c r="S12" i="8"/>
  <c r="S11" i="8"/>
  <c r="S10" i="8"/>
  <c r="S9" i="8"/>
  <c r="S8" i="8"/>
  <c r="S7" i="8"/>
  <c r="S6" i="8"/>
  <c r="B15" i="4"/>
  <c r="B14" i="4"/>
  <c r="B13" i="4"/>
  <c r="B12" i="4"/>
  <c r="B11" i="4"/>
  <c r="B10" i="4"/>
  <c r="B9" i="4"/>
  <c r="B8" i="4"/>
  <c r="B5" i="4"/>
  <c r="D2" i="3"/>
  <c r="D3" i="3"/>
  <c r="D4" i="3"/>
  <c r="D5" i="3"/>
  <c r="D6" i="3"/>
  <c r="D7" i="3"/>
  <c r="D8" i="3"/>
  <c r="D9" i="3"/>
  <c r="D10" i="3"/>
  <c r="D11" i="3"/>
  <c r="B4" i="4"/>
  <c r="B3" i="4"/>
  <c r="J11" i="3"/>
  <c r="I11" i="3"/>
  <c r="H11" i="3"/>
  <c r="G11" i="3"/>
  <c r="F11" i="3"/>
  <c r="E11" i="3"/>
  <c r="J10" i="3"/>
  <c r="I10" i="3"/>
  <c r="H10" i="3"/>
  <c r="G10" i="3"/>
  <c r="F10" i="3"/>
  <c r="E10" i="3"/>
  <c r="J9" i="3"/>
  <c r="I9" i="3"/>
  <c r="H9" i="3"/>
  <c r="G9" i="3"/>
  <c r="F9" i="3"/>
  <c r="E9" i="3"/>
  <c r="J8" i="3"/>
  <c r="I8" i="3"/>
  <c r="H8" i="3"/>
  <c r="G8" i="3"/>
  <c r="F8" i="3"/>
  <c r="E8" i="3"/>
  <c r="J7" i="3"/>
  <c r="I7" i="3"/>
  <c r="H7" i="3"/>
  <c r="G7" i="3"/>
  <c r="F7" i="3"/>
  <c r="E7" i="3"/>
  <c r="J6" i="3"/>
  <c r="I6" i="3"/>
  <c r="H6" i="3"/>
  <c r="G6" i="3"/>
  <c r="F6" i="3"/>
  <c r="E6" i="3"/>
  <c r="J5" i="3"/>
  <c r="I5" i="3"/>
  <c r="H5" i="3"/>
  <c r="G5" i="3"/>
  <c r="F5" i="3"/>
  <c r="E5" i="3"/>
  <c r="J4" i="3"/>
  <c r="I4" i="3"/>
  <c r="H4" i="3"/>
  <c r="G4" i="3"/>
  <c r="F4" i="3"/>
  <c r="E4" i="3"/>
  <c r="J3" i="3"/>
  <c r="I3" i="3"/>
  <c r="H3" i="3"/>
  <c r="G3" i="3"/>
  <c r="F3" i="3"/>
  <c r="E3" i="3"/>
  <c r="J2" i="3"/>
  <c r="I2" i="3"/>
  <c r="H2" i="3"/>
  <c r="G2" i="3"/>
  <c r="F2" i="3"/>
  <c r="E2" i="3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20" i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<sst xmlns="http://schemas.openxmlformats.org/spreadsheetml/2006/main" count="1099" uniqueCount="327">
  <si>
    <t>Player Name</t>
  </si>
  <si>
    <t>Jersey #</t>
  </si>
  <si>
    <t>Positions Played</t>
  </si>
  <si>
    <t>Michael Dawson</t>
  </si>
  <si>
    <t>X, Y</t>
  </si>
  <si>
    <t>Joshua Hobbins</t>
  </si>
  <si>
    <t>Z, X</t>
  </si>
  <si>
    <t>Sawyer March</t>
  </si>
  <si>
    <t>Andrew Martinez</t>
  </si>
  <si>
    <t>Q, W, Z, X</t>
  </si>
  <si>
    <t>Liam Phipps</t>
  </si>
  <si>
    <t>C, Z</t>
  </si>
  <si>
    <t>Agustus Rodriguez</t>
  </si>
  <si>
    <t>C</t>
  </si>
  <si>
    <t>Wesley Simmons</t>
  </si>
  <si>
    <t>Caleb Spivey</t>
  </si>
  <si>
    <t>W, Y</t>
  </si>
  <si>
    <t>Carter Stevens</t>
  </si>
  <si>
    <t>Parker Woodward</t>
  </si>
  <si>
    <t>Position Key:</t>
  </si>
  <si>
    <t>Q</t>
  </si>
  <si>
    <t>W</t>
  </si>
  <si>
    <t>X</t>
  </si>
  <si>
    <t>Y</t>
  </si>
  <si>
    <t>Z</t>
  </si>
  <si>
    <t>Play #</t>
  </si>
  <si>
    <t>Play Name</t>
  </si>
  <si>
    <t>C (Center)</t>
  </si>
  <si>
    <t>Q (Quarterback)</t>
  </si>
  <si>
    <t>W (Wide Receiver)</t>
  </si>
  <si>
    <t>X (Wide Receiver)</t>
  </si>
  <si>
    <t>Y (Tight End)</t>
  </si>
  <si>
    <t>Z (Receiver)</t>
  </si>
  <si>
    <t>Notes</t>
  </si>
  <si>
    <t>Tick</t>
  </si>
  <si>
    <t>Phipps</t>
  </si>
  <si>
    <t>Simmons</t>
  </si>
  <si>
    <t>Woodward</t>
  </si>
  <si>
    <t>March</t>
  </si>
  <si>
    <t>Stevens</t>
  </si>
  <si>
    <t>Spivey</t>
  </si>
  <si>
    <t>Tick Tock</t>
  </si>
  <si>
    <t>Circle Run Option</t>
  </si>
  <si>
    <t>Rodriguez</t>
  </si>
  <si>
    <t>Dawson</t>
  </si>
  <si>
    <t>Martinez</t>
  </si>
  <si>
    <t>Hobbins</t>
  </si>
  <si>
    <t>Airplane Pass Option</t>
  </si>
  <si>
    <t>Eagle</t>
  </si>
  <si>
    <t>Sweep</t>
  </si>
  <si>
    <t>Cross</t>
  </si>
  <si>
    <t>Circle Pass Option</t>
  </si>
  <si>
    <t>Available Positions</t>
  </si>
  <si>
    <t>Total Plays</t>
  </si>
  <si>
    <t>Times at C</t>
  </si>
  <si>
    <t>Times at Q</t>
  </si>
  <si>
    <t>Times at W</t>
  </si>
  <si>
    <t>Times at X</t>
  </si>
  <si>
    <t>Times at Y</t>
  </si>
  <si>
    <t>Times at Z</t>
  </si>
  <si>
    <t>X,Y</t>
  </si>
  <si>
    <t>C,Z</t>
  </si>
  <si>
    <t>Q,W,Z,X</t>
  </si>
  <si>
    <t>W,Y</t>
  </si>
  <si>
    <t>Game Summary Dashboard</t>
  </si>
  <si>
    <t>Total Plays Called:</t>
  </si>
  <si>
    <t>Most Active Player:</t>
  </si>
  <si>
    <t>Most Used Play:</t>
  </si>
  <si>
    <t>Play Breakdown:</t>
  </si>
  <si>
    <t>C Players</t>
  </si>
  <si>
    <t>Q Players</t>
  </si>
  <si>
    <t>W Players</t>
  </si>
  <si>
    <t>X Players</t>
  </si>
  <si>
    <t>Y Players</t>
  </si>
  <si>
    <t>Z Players</t>
  </si>
  <si>
    <t>Play Type</t>
  </si>
  <si>
    <t>Diagram Row</t>
  </si>
  <si>
    <t>Circle - Run Option</t>
  </si>
  <si>
    <t>Circle - Pass Option</t>
  </si>
  <si>
    <t>Airplane - Pass Option</t>
  </si>
  <si>
    <t>Circle - Reverse</t>
  </si>
  <si>
    <t>&amp;#127944; LIONS OFFENSE - MAIN PLAYS</t>
  </si>
  <si>
    <t>Select players for each position using the dropdowns</t>
  </si>
  <si>
    <t>Play #1</t>
  </si>
  <si>
    <t>Eligible:</t>
  </si>
  <si>
    <t>Phipps
Rodriguez</t>
  </si>
  <si>
    <t>Martinez
Simmons</t>
  </si>
  <si>
    <t>Martinez
Simmons
Spivey
Stevens</t>
  </si>
  <si>
    <t>Dawson
Hobbins
March
Martinez
Simmons
Woodward</t>
  </si>
  <si>
    <t>Dawson
Spivey
Stevens
Woodward</t>
  </si>
  <si>
    <t>Hobbins
March
Martinez
Phipps
Simmons</t>
  </si>
  <si>
    <t>Play #2</t>
  </si>
  <si>
    <t>Play #3</t>
  </si>
  <si>
    <t>Play #4</t>
  </si>
  <si>
    <t>Play #5</t>
  </si>
  <si>
    <t>Play #6</t>
  </si>
  <si>
    <t>Play #7</t>
  </si>
  <si>
    <t>Play #8</t>
  </si>
  <si>
    <t>Play #9</t>
  </si>
  <si>
    <t>Q (QB)</t>
  </si>
  <si>
    <t>W (WR)</t>
  </si>
  <si>
    <t>X (WR)</t>
  </si>
  <si>
    <t>Y (TE)</t>
  </si>
  <si>
    <t>Phipps, Rodriguez</t>
  </si>
  <si>
    <t>Martinez, Simmons</t>
  </si>
  <si>
    <t>Martinez, Simmons, Spivey, Stevens</t>
  </si>
  <si>
    <t>Dawson, Hobbins, March, Martinez, Simmons, Woodward</t>
  </si>
  <si>
    <t>Dawson, Spivey, Stevens, Woodward</t>
  </si>
  <si>
    <t>Hobbins, March, Martinez, Phipps, Simmons</t>
  </si>
  <si>
    <t>POSITION ELIGIBILITY SUMMARY</t>
  </si>
  <si>
    <t>Position</t>
  </si>
  <si>
    <t>Eligible Players</t>
  </si>
  <si>
    <t>C - Center</t>
  </si>
  <si>
    <t>Q - Quarterback</t>
  </si>
  <si>
    <t>W - Wide Receiver (W)</t>
  </si>
  <si>
    <t>X - Wide Receiver (X)</t>
  </si>
  <si>
    <t>Y - Tight End</t>
  </si>
  <si>
    <t>Z - Receiver</t>
  </si>
  <si>
    <t>&amp;#127944; LIONS OFFENSE - 30 PLAY GAME PLAN</t>
  </si>
  <si>
    <t>&amp;#127918; LIVE COACH DASHBOARD</t>
  </si>
  <si>
    <t>&amp;#9888;&amp;#65039; ADJUSTED: March OUT | Simmons PRIMARY QB (24) | Martinez featured at skill positions (7 targets)</t>
  </si>
  <si>
    <t>Track results &amp;#8594; See what's HOT &amp;#128293; or COLD &amp;#10052;&amp;#65039; &amp;#8594; Get smart suggestions</t>
  </si>
  <si>
    <t>#</t>
  </si>
  <si>
    <t>Diagram</t>
  </si>
  <si>
    <t>Base Play</t>
  </si>
  <si>
    <t>Variation</t>
  </si>
  <si>
    <t>TARGET</t>
  </si>
  <si>
    <t>Action</t>
  </si>
  <si>
    <t>Best For</t>
  </si>
  <si>
    <t>Result</t>
  </si>
  <si>
    <t>Yards</t>
  </si>
  <si>
    <t>&amp;#128202; PLAY TYPE SUCCESS RATES</t>
  </si>
  <si>
    <t>SEQUENCE 1: Tick Series - Establish Rhythm, Then Counter</t>
  </si>
  <si>
    <t>Called</t>
  </si>
  <si>
    <t>&amp;#10003; Won</t>
  </si>
  <si>
    <t>&amp;#10007; Lost</t>
  </si>
  <si>
    <t>Win %</t>
  </si>
  <si>
    <t>Status</t>
  </si>
  <si>
    <t>&amp;#9654;</t>
  </si>
  <si>
    <t>Standard - Z Quick</t>
  </si>
  <si>
    <t>X (Martinez)</t>
  </si>
  <si>
    <t>PASS</t>
  </si>
  <si>
    <t>Quick pass to Z on slant. Establish rhythm.</t>
  </si>
  <si>
    <t>&amp;#127937; OPENING DRIVE</t>
  </si>
  <si>
    <t>&amp;#10003;</t>
  </si>
  <si>
    <t>W Hook Option</t>
  </si>
  <si>
    <t>W (Spivey)</t>
  </si>
  <si>
    <t>Same look, target W on hook route.</t>
  </si>
  <si>
    <t>X Deep Shot</t>
  </si>
  <si>
    <t>Z (Martinez)</t>
  </si>
  <si>
    <t>Counter off Tick - hit X deep on go route.</t>
  </si>
  <si>
    <t>&amp;#128205; 2nd &amp;amp; LONG / TAKE SHOT</t>
  </si>
  <si>
    <t>Circle Run</t>
  </si>
  <si>
    <t>Y Corner</t>
  </si>
  <si>
    <t>Y (Spivey)</t>
  </si>
  <si>
    <t>Return to Tick, Y runs corner.</t>
  </si>
  <si>
    <t>&amp;#127937; 1st DOWN / ANY DOWN</t>
  </si>
  <si>
    <t>&amp;#10007;</t>
  </si>
  <si>
    <t>Circle Pass</t>
  </si>
  <si>
    <t>Shot Play</t>
  </si>
  <si>
    <t>X (Woodward)</t>
  </si>
  <si>
    <t>Surprise pass to X after selling run fake.</t>
  </si>
  <si>
    <t>Circle Rev</t>
  </si>
  <si>
    <t>SEQUENCE 2: Circle Run Series - Ground Game</t>
  </si>
  <si>
    <t>Z Sweep Right</t>
  </si>
  <si>
    <t>Z (Phipps)</t>
  </si>
  <si>
    <t>RUN</t>
  </si>
  <si>
    <t>Z takes handoff (Phipps releases). X blocks.</t>
  </si>
  <si>
    <t>&amp;#9889; 3rd &amp;amp; SHORT / GOAL LINE</t>
  </si>
  <si>
    <t>Z (Hobbins)</t>
  </si>
  <si>
    <t>Same concept - Z is primary.</t>
  </si>
  <si>
    <t>Fake Run, Y Corner</t>
  </si>
  <si>
    <t>Y (Woodward)</t>
  </si>
  <si>
    <t>Fake to Z, hit Y on corner route.</t>
  </si>
  <si>
    <t>&amp;#127919; RED ZONE / MISDIRECTION</t>
  </si>
  <si>
    <t>Airplane</t>
  </si>
  <si>
    <t>W Reverse Left</t>
  </si>
  <si>
    <t>W (Stevens)</t>
  </si>
  <si>
    <t>Big misdirection - W takes reverse.</t>
  </si>
  <si>
    <t>&amp;#128260; TRICK PLAY / SURPRISE</t>
  </si>
  <si>
    <t>SEQUENCE 3: Eagle Formation - Stack Attack</t>
  </si>
  <si>
    <t>&amp;#9889; CURRENT SITUATION (Select Below)</t>
  </si>
  <si>
    <t>X Out Route</t>
  </si>
  <si>
    <t>X (Hobbins)</t>
  </si>
  <si>
    <t>Stack formation, X runs out.</t>
  </si>
  <si>
    <t>&amp;#128205; NEED 7+ YARDS</t>
  </si>
  <si>
    <t>Down:</t>
  </si>
  <si>
    <t>2nd</t>
  </si>
  <si>
    <t>Distance:</t>
  </si>
  <si>
    <t>Long (7+)</t>
  </si>
  <si>
    <t>Z Dig</t>
  </si>
  <si>
    <t>Same look, Z runs dig route.</t>
  </si>
  <si>
    <t>Field Pos:</t>
  </si>
  <si>
    <t>Midfield</t>
  </si>
  <si>
    <t>Y Jet Sweep</t>
  </si>
  <si>
    <t>Y (Dawson)</t>
  </si>
  <si>
    <t>Off Eagle look - Y takes sweep.</t>
  </si>
  <si>
    <t>W Post</t>
  </si>
  <si>
    <t>Deep shot to W on post route.</t>
  </si>
  <si>
    <t>&amp;#129504; SMART PLAY SUGGESTIONS</t>
  </si>
  <si>
    <t>A/Z Cross Pattern</t>
  </si>
  <si>
    <t>Crossing routes - Z is primary.</t>
  </si>
  <si>
    <t>&amp;#128205; 3rd &amp;amp; MEDIUM / vs ZONE</t>
  </si>
  <si>
    <t>&amp;#128293; HOT Plays:</t>
  </si>
  <si>
    <t>SEQUENCE 4: Airplane Series - Misdirection Passes</t>
  </si>
  <si>
    <t>&amp;#10052;&amp;#65039; AVOID:</t>
  </si>
  <si>
    <t>X Short</t>
  </si>
  <si>
    <t>X (Dawson)</t>
  </si>
  <si>
    <t>Quick pass to X on short route.</t>
  </si>
  <si>
    <t>&amp;#127919; TAKE A SHOT / 2nd &amp;amp; LONG</t>
  </si>
  <si>
    <t>Y Sell Fake</t>
  </si>
  <si>
    <t>Y (Stevens)</t>
  </si>
  <si>
    <t>Y sells run fake, releases for pass.</t>
  </si>
  <si>
    <t>&amp;#128203; SITUATION-BASED PICKS:</t>
  </si>
  <si>
    <t>Change of Pace</t>
  </si>
  <si>
    <t>Slow down tempo, Y on hook.</t>
  </si>
  <si>
    <t>Short Yardage:</t>
  </si>
  <si>
    <t>Sweep, Circle Run (look for &amp;#128293;)</t>
  </si>
  <si>
    <t>W Go Route</t>
  </si>
  <si>
    <t>Shot play - W runs deep go.</t>
  </si>
  <si>
    <t>Need 7+ Yards:</t>
  </si>
  <si>
    <t>Eagle, Tick Tock, Cross (look for &amp;#128293;)</t>
  </si>
  <si>
    <t>SEQUENCE 5: Sweep &amp;amp; Reverse - Run Deception</t>
  </si>
  <si>
    <t>Red Zone:</t>
  </si>
  <si>
    <t>Circle Pass, Airplane (look for &amp;#128293;)</t>
  </si>
  <si>
    <t>X Sweep Right</t>
  </si>
  <si>
    <t>Establish sweep to X.</t>
  </si>
  <si>
    <t>Backed Up/Safe:</t>
  </si>
  <si>
    <t>Tick, Sweep (quick/safe options)</t>
  </si>
  <si>
    <t>Y Sweep Left</t>
  </si>
  <si>
    <t>Sweep to Y side - mix it up.</t>
  </si>
  <si>
    <t>W Reverse Counter</t>
  </si>
  <si>
    <t>Counter reverse to W.</t>
  </si>
  <si>
    <t>&amp;#128200; GAME TOTALS</t>
  </si>
  <si>
    <t>X Deep</t>
  </si>
  <si>
    <t>Change up - pass to X deep.</t>
  </si>
  <si>
    <t>Plays Called:</t>
  </si>
  <si>
    <t>Successful:</t>
  </si>
  <si>
    <t>Failed:</t>
  </si>
  <si>
    <t>Z Slant</t>
  </si>
  <si>
    <t>Quick slant to Z.</t>
  </si>
  <si>
    <t>Success Rate:</t>
  </si>
  <si>
    <t>Total Yards:</t>
  </si>
  <si>
    <t>SEQUENCE 6: Cross &amp;amp; Deep - Vertical Attack</t>
  </si>
  <si>
    <t>Touchdowns:</t>
  </si>
  <si>
    <t>Z Cross</t>
  </si>
  <si>
    <t>Z runs cross (Phipps releases).</t>
  </si>
  <si>
    <t>&amp;#127919; RECOMMENDED NEXT PLAY</t>
  </si>
  <si>
    <t>X Post</t>
  </si>
  <si>
    <t>Same formation, X on post.</t>
  </si>
  <si>
    <t>Safe Play</t>
  </si>
  <si>
    <t>Safe completion to W.</t>
  </si>
  <si>
    <t>&amp;#127937; SAFE / BACKED UP</t>
  </si>
  <si>
    <t>Y Deep Corner</t>
  </si>
  <si>
    <t>Shot to Y on corner route.</t>
  </si>
  <si>
    <t>&amp;#127919; NEED BIG PLAY / TRAILING</t>
  </si>
  <si>
    <t>SEQUENCE 7: Red Zone / End Game</t>
  </si>
  <si>
    <t>Quick Z</t>
  </si>
  <si>
    <t>Quick pass to Z in end zone.</t>
  </si>
  <si>
    <t>&amp;#128161; QUICK TIPS</t>
  </si>
  <si>
    <t>C Hook Surprise</t>
  </si>
  <si>
    <t>C (Phipps)</t>
  </si>
  <si>
    <t>Surprise! Hit C on hook release.</t>
  </si>
  <si>
    <t>&amp;#8226; After each play: Mark Result (&amp;#10003;/&amp;#10007;) in column O</t>
  </si>
  <si>
    <t>X Go - TD Shot</t>
  </si>
  <si>
    <t>Final shot - X runs go for TD.</t>
  </si>
  <si>
    <t>&amp;#8226; Watch for &amp;#128293; HOT plays - keep calling them!</t>
  </si>
  <si>
    <t>&amp;#8226; Avoid &amp;#10052;&amp;#65039; COLD plays - defense has figured them out</t>
  </si>
  <si>
    <t>&amp;#8226; Update situation before each drive for smart picks</t>
  </si>
  <si>
    <t>&amp;#128202; UPDATED PLAYER DISTRIBUTION (March OUT)</t>
  </si>
  <si>
    <t>&amp;#128269; TIP: Click any play name (Col C) to see enlarged diagram!</t>
  </si>
  <si>
    <t>INACTIVE:</t>
  </si>
  <si>
    <t>March (#6) - OUT SICK</t>
  </si>
  <si>
    <t>QB Snaps:</t>
  </si>
  <si>
    <t>Martinez: 18 plays | Simmons: 12 plays</t>
  </si>
  <si>
    <t>Center Snaps:</t>
  </si>
  <si>
    <t>Phipps: 16 plays | Rodriguez: 14 plays</t>
  </si>
  <si>
    <t>Targets/Carries:</t>
  </si>
  <si>
    <t>Hobbins: 8 | Dawson: 6 | Spivey: 5 | Stevens: 4 | Woodward: 4 | Phipps: 3</t>
  </si>
  <si>
    <t>&amp;#128203; SITUATION LEGEND (Best For Column):</t>
  </si>
  <si>
    <t>&amp;#127937; Blue</t>
  </si>
  <si>
    <t>Opening/Safe/1st Down</t>
  </si>
  <si>
    <t>Low risk, establish rhythm</t>
  </si>
  <si>
    <t>&amp;#9889; Orange</t>
  </si>
  <si>
    <t>Short Yardage/Goal Line</t>
  </si>
  <si>
    <t>3rd &amp;amp; short, inside 5 yards</t>
  </si>
  <si>
    <t>&amp;#128205; Green</t>
  </si>
  <si>
    <t>Medium/Chunk Yards</t>
  </si>
  <si>
    <t>2nd down, need 5-10 yards</t>
  </si>
  <si>
    <t>&amp;#127919; Red</t>
  </si>
  <si>
    <t>Red Zone/Big Play</t>
  </si>
  <si>
    <t>Scoring opportunity, must convert</t>
  </si>
  <si>
    <t>&amp;#128260; Purple</t>
  </si>
  <si>
    <t>Trick/Misdirection</t>
  </si>
  <si>
    <t>Surprise defense, reverse tempo</t>
  </si>
  <si>
    <t>&amp;#128269; PLAY VIEWER - Select Play # to See Roster &amp;amp; Diagram</t>
  </si>
  <si>
    <t>&amp;#11013;&amp;#65039; Back to Game Plan</t>
  </si>
  <si>
    <t>PLAY #:</t>
  </si>
  <si>
    <t>◀ SELECT 1-30 from dropdown</t>
  </si>
  <si>
    <t>PLAY:</t>
  </si>
  <si>
    <t>&amp;#127919;TARGET:</t>
  </si>
  <si>
    <t>ACTION:</t>
  </si>
  <si>
    <t>&amp;#11014;&amp;#65039; Back to Top</t>
  </si>
  <si>
    <t>&amp;#9654; PLAY 2: TICK TOCK</t>
  </si>
  <si>
    <t>Misdirection timing play</t>
  </si>
  <si>
    <t>Best for: 2nd down, need chunk yards</t>
  </si>
  <si>
    <t>&amp;#9654; PLAY 3: CIRCLE - RUN OPTION</t>
  </si>
  <si>
    <t>QB keeper/run option</t>
  </si>
  <si>
    <t>Best for: Short yardage, goal line</t>
  </si>
  <si>
    <t>&amp;#9654; PLAY 4: CIRCLE - PASS OPTION</t>
  </si>
  <si>
    <t>Play action off run fake</t>
  </si>
  <si>
    <t>Best for: Red zone, misdirection</t>
  </si>
  <si>
    <t>&amp;#9654; PLAY 5: EAGLE</t>
  </si>
  <si>
    <t>Spread formation attack</t>
  </si>
  <si>
    <t>Best for: Need 7+ yards, multiple options</t>
  </si>
  <si>
    <t>&amp;#9654; PLAY 6: AIRPLANE - PASS OPTION</t>
  </si>
  <si>
    <t>Vertical/deep routes</t>
  </si>
  <si>
    <t>Best for: Take a shot, 2nd &amp;amp; long</t>
  </si>
  <si>
    <t>&amp;#9654; PLAY 7: SWEEP</t>
  </si>
  <si>
    <t>Outside run play</t>
  </si>
  <si>
    <t>Best for: Goal line, short yardage</t>
  </si>
  <si>
    <t>&amp;#9654; PLAY 8: CROSS</t>
  </si>
  <si>
    <t>Crossing routes vs zone</t>
  </si>
  <si>
    <t>Best for: 3rd &amp;amp; medium, vs zone defense</t>
  </si>
  <si>
    <t>&amp;#9654; PLAY 9: CIRCLE - REVERSE</t>
  </si>
  <si>
    <t>Misdirection reverse</t>
  </si>
  <si>
    <t>Best for: Surprise, change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</si>
</sst>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charset val="1"/>
    </font>
    <font>
      <b/>
      <sz val="12"/>
      <color rgb="FFFFFFFF"/>
      <name val="Cambria"/>
      <family val="1"/>
      <charset val="1"/>
    </font>
    <font>
      <b/>
      <sz val="11"/>
      <name val="Cambria"/>
      <family val="1"/>
      <charset val="1"/>
    </font>
    <font>
      <b/>
      <sz val="12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FF"/>
      <name val="Calibri"/>
      <family val="2"/>
      <charset val="1"/>
    </font>
    <font>
      <b/>
      <sz val="16"/>
      <color rgb="FF1F4E78"/>
      <name val="Calibri"/>
      <family val="2"/>
      <charset val="1"/>
    </font>
    <font>
      <b/>
      <sz val="14"/>
      <color rgb="FF0000FF"/>
      <name val="Calibri"/>
      <family val="2"/>
      <charset val="1"/>
    </font>
    <font>
      <sz val="12"/>
      <color rgb="FF008000"/>
      <name val="Calibri"/>
      <family val="2"/>
      <charset val="1"/>
    </font>
    <font>
      <b/>
      <sz val="12"/>
      <name val="Calibri"/>
      <family val="2"/>
      <charset val="1"/>
    </font>
    <font>
      <b/>
      <sz val="16"/>
      <color rgb="FF1F4E79"/>
      <name val="Cambria"/>
      <family val="1"/>
      <charset val="1"/>
    </font>
    <font>
      <i/>
      <sz val="10"/>
      <color rgb="FF666666"/>
      <name val="Cambria"/>
      <family val="1"/>
      <charset val="1"/>
    </font>
    <font>
      <b/>
      <sz val="12"/>
      <name val="Cambria"/>
      <family val="1"/>
      <charset val="1"/>
    </font>
    <font>
      <b/>
      <sz val="14"/>
      <color rgb="FF1F4E79"/>
      <name val="Cambria"/>
      <family val="1"/>
      <charset val="1"/>
    </font>
    <font>
      <b/>
      <sz val="11"/>
      <color rgb="FFFFFFFF"/>
      <name val="Cambria"/>
      <family val="1"/>
      <charset val="1"/>
    </font>
    <font>
      <i/>
      <sz val="9"/>
      <color rgb="FF666666"/>
      <name val="Cambria"/>
      <family val="1"/>
      <charset val="1"/>
    </font>
    <font>
      <sz val="8"/>
      <color rgb="FF666666"/>
      <name val="Cambria"/>
      <family val="1"/>
      <charset val="1"/>
    </font>
    <font>
      <b/>
      <sz val="14"/>
      <color rgb="FFFFFFFF"/>
      <name val="Cambria"/>
      <family val="1"/>
      <charset val="1"/>
    </font>
    <font>
      <i/>
      <sz val="10"/>
      <color rgb="FF0066CC"/>
      <name val="Cambria"/>
      <charset val="1"/>
    </font>
    <font>
      <i/>
      <sz val="10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11"/>
      <color rgb="FF1F4E79"/>
      <name val="Cambria"/>
      <family val="1"/>
      <charset val="1"/>
    </font>
    <font>
      <b/>
      <sz val="11"/>
      <color rgb="FFC00000"/>
      <name val="Cambria"/>
      <family val="1"/>
      <charset val="1"/>
    </font>
    <font>
      <sz val="14"/>
      <name val="Cambria"/>
      <family val="1"/>
      <charset val="1"/>
    </font>
    <font>
      <b/>
      <sz val="12"/>
      <name val="Cambria"/>
      <charset val="1"/>
    </font>
    <font>
      <b/>
      <sz val="11"/>
      <color rgb="FF006400"/>
      <name val="Cambria"/>
      <family val="1"/>
      <charset val="1"/>
    </font>
    <font>
      <b/>
      <sz val="11"/>
      <color rgb="FF8B0000"/>
      <name val="Cambria"/>
      <family val="1"/>
      <charset val="1"/>
    </font>
    <font>
      <i/>
      <sz val="1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rgb="FF006400"/>
      <name val="Cambria"/>
      <family val="1"/>
      <charset val="1"/>
    </font>
    <font>
      <b/>
      <sz val="14"/>
      <color rgb="FF8B0000"/>
      <name val="Cambria"/>
      <family val="1"/>
      <charset val="1"/>
    </font>
    <font>
      <b/>
      <sz val="16"/>
      <name val="Cambria"/>
      <family val="1"/>
      <charset val="1"/>
    </font>
    <font>
      <b/>
      <sz val="11"/>
      <name val="Cambria"/>
      <charset val="1"/>
    </font>
    <font>
      <b/>
      <sz val="16"/>
      <color rgb="FFFF0000"/>
      <name val="Cambria"/>
      <charset val="1"/>
    </font>
    <font>
      <b/>
      <sz val="10"/>
      <name val="Cambria"/>
      <family val="1"/>
      <charset val="1"/>
    </font>
    <font>
      <sz val="9"/>
      <name val="Cambria"/>
      <family val="1"/>
      <charset val="1"/>
    </font>
    <font>
      <b/>
      <sz val="12"/>
      <color rgb="FF1F4E79"/>
      <name val="Cambria"/>
      <family val="1"/>
      <charset val="1"/>
    </font>
    <font>
      <i/>
      <sz val="9"/>
      <color rgb="FF0563C1"/>
      <name val="Cambria"/>
      <charset val="1"/>
    </font>
    <font>
      <sz val="11"/>
      <color rgb="FFC00000"/>
      <name val="Cambria"/>
      <family val="1"/>
      <charset val="1"/>
    </font>
    <font>
      <b/>
      <sz val="16"/>
      <color rgb="FFFFFFFF"/>
      <name val="Cambria"/>
      <charset val="1"/>
    </font>
    <font>
      <b/>
      <sz val="14"/>
      <name val="Cambria"/>
      <charset val="1"/>
    </font>
    <font>
      <b/>
      <sz val="24"/>
      <name val="Cambria"/>
      <charset val="1"/>
    </font>
    <font>
      <sz val="11"/>
      <name val="Cambria"/>
      <charset val="1"/>
    </font>
    <font>
      <i/>
      <sz val="11"/>
      <name val="Cambria"/>
      <charset val="1"/>
    </font>
    <font>
      <b/>
      <sz val="14"/>
      <color rgb="FFFFFFFF"/>
      <name val="Cambria"/>
      <charset val="1"/>
    </font>
    <font>
      <b/>
      <sz val="10"/>
      <name val="Cambria"/>
      <charset val="1"/>
    </font>
    <font>
      <b/>
      <sz val="12"/>
      <color rgb="FFCC0000"/>
      <name val="Cambria"/>
      <charset val="1"/>
    </font>
    <font>
      <i/>
      <sz val="12"/>
      <name val="Cambria"/>
      <charset val="1"/>
    </font>
    <font>
      <b/>
      <sz val="12"/>
      <color rgb="FF006400"/>
      <name val="Cambria"/>
      <charset val="1"/>
    </font>
    <font>
      <sz val="11"/>
      <color rgb="FF0563C1"/>
      <name val="Arial"/>
    </font>
    <font>
      <b/>
      <sz val="11"/>
      <name val="Calibri"/>
    </font>
    <font>
      <b/>
      <u/>
      <sz val="12"/>
      <color rgb="FF0563C1"/>
      <name val="Cambria"/>
    </font>
    <font>
      <u/>
      <sz val="11"/>
      <color rgb="FF0563C1"/>
      <name val="Cambria"/>
    </font>
    <font>
      <i/>
      <sz val="10"/>
      <color rgb="FF666666"/>
      <name val="Cambria"/>
    </font>
    <font>
      <u/>
      <sz val="10"/>
      <color rgb="FF0563C1"/>
      <name val="Cambria"/>
    </font>
    <font>
      <u/>
      <sz val="10"/>
      <color rgb="FF0563C1"/>
      <name val="Arial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1F4E78"/>
        <bgColor rgb="FF1F4E79"/>
      </patternFill>
    </fill>
    <fill>
      <patternFill patternType="solid">
        <fgColor rgb="FFFFFF00"/>
        <bgColor rgb="FFFFFFCC"/>
      </patternFill>
    </fill>
    <fill>
      <patternFill patternType="solid">
        <fgColor rgb="FF00B050"/>
        <bgColor rgb="FF009900"/>
      </patternFill>
    </fill>
    <fill>
      <patternFill patternType="solid">
        <fgColor rgb="FF00B0F0"/>
        <bgColor rgb="FF00B050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EDEDED"/>
      </patternFill>
    </fill>
    <fill>
      <patternFill patternType="solid">
        <fgColor rgb="FFD9E2F3"/>
        <bgColor rgb="FFD6DCE5"/>
      </patternFill>
    </fill>
    <fill>
      <patternFill patternType="solid">
        <fgColor rgb="FF1F4E79"/>
        <bgColor rgb="FF1F4E78"/>
      </patternFill>
    </fill>
    <fill>
      <patternFill patternType="solid">
        <fgColor rgb="FF7030A0"/>
        <bgColor rgb="FF6600CC"/>
      </patternFill>
    </fill>
    <fill>
      <patternFill patternType="solid">
        <fgColor rgb="FFD6DCE5"/>
        <bgColor rgb="FFD6DCE4"/>
      </patternFill>
    </fill>
    <fill>
      <patternFill patternType="solid">
        <fgColor rgb="FFD6DCE4"/>
        <bgColor rgb="FFD6DCE5"/>
      </patternFill>
    </fill>
    <fill>
      <patternFill patternType="solid">
        <fgColor rgb="FFDAEEF3"/>
        <bgColor rgb="FFDDEBF7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FCCCC"/>
      </patternFill>
    </fill>
    <fill>
      <patternFill patternType="solid">
        <fgColor rgb="FFFFF2CC"/>
        <bgColor rgb="FFFFEECC"/>
      </patternFill>
    </fill>
    <fill>
      <patternFill patternType="solid">
        <fgColor rgb="FFFCE4D6"/>
        <bgColor rgb="FFFFE0CC"/>
      </patternFill>
    </fill>
    <fill>
      <patternFill patternType="solid">
        <fgColor rgb="FFFFCCCC"/>
        <bgColor rgb="FFFFC7CE"/>
      </patternFill>
    </fill>
    <fill>
      <patternFill patternType="solid">
        <fgColor rgb="FFE4DFEC"/>
        <bgColor rgb="FFD9E2F3"/>
      </patternFill>
    </fill>
    <fill>
      <patternFill patternType="solid">
        <fgColor rgb="FFC65911"/>
        <bgColor rgb="FFFF6600"/>
      </patternFill>
    </fill>
    <fill>
      <patternFill patternType="solid">
        <fgColor rgb="FF375623"/>
        <bgColor rgb="FF333300"/>
      </patternFill>
    </fill>
    <fill>
      <patternFill patternType="solid">
        <fgColor rgb="FFDDEBF7"/>
        <bgColor rgb="FFDAEEF3"/>
      </patternFill>
    </fill>
    <fill>
      <patternFill patternType="solid">
        <fgColor rgb="FF5B9BD5"/>
        <bgColor rgb="FF4472C4"/>
      </patternFill>
    </fill>
    <fill>
      <patternFill patternType="solid">
        <fgColor rgb="FF833C0C"/>
        <bgColor rgb="FFC65911"/>
      </patternFill>
    </fill>
    <fill>
      <patternFill patternType="solid">
        <fgColor rgb="FFEDEDED"/>
        <bgColor rgb="FFE2EFDA"/>
      </patternFill>
    </fill>
    <fill>
      <patternFill patternType="solid">
        <fgColor rgb="FFFF6600"/>
        <bgColor rgb="FFC65911"/>
      </patternFill>
    </fill>
    <fill>
      <patternFill patternType="solid">
        <fgColor rgb="FF0066CC"/>
        <bgColor rgb="FF0563C1"/>
      </patternFill>
    </fill>
    <fill>
      <patternFill patternType="solid">
        <fgColor rgb="FF009900"/>
        <bgColor rgb="FF008000"/>
      </patternFill>
    </fill>
    <fill>
      <patternFill patternType="solid">
        <fgColor rgb="FFCC0000"/>
        <bgColor rgb="FFC00000"/>
      </patternFill>
    </fill>
    <fill>
      <patternFill patternType="solid">
        <fgColor rgb="FF6600CC"/>
        <bgColor rgb="FF660066"/>
      </patternFill>
    </fill>
    <fill>
      <patternFill patternType="solid">
        <fgColor rgb="FFCC9900"/>
        <bgColor rgb="FFFF6600"/>
      </patternFill>
    </fill>
    <fill>
      <patternFill patternType="solid">
        <fgColor rgb="FFFFE0CC"/>
        <bgColor rgb="FFFCE4D6"/>
      </patternFill>
    </fill>
    <fill>
      <patternFill patternType="solid">
        <fgColor rgb="FFCCE0FF"/>
        <bgColor rgb="FFD9E2F3"/>
      </patternFill>
    </fill>
    <fill>
      <patternFill patternType="solid">
        <fgColor rgb="FFCCFFCC"/>
        <bgColor rgb="FFC6EFCE"/>
      </patternFill>
    </fill>
    <fill>
      <patternFill patternType="solid">
        <fgColor rgb="FFE0CCFF"/>
        <bgColor rgb="FFD6DCE5"/>
      </patternFill>
    </fill>
    <fill>
      <patternFill patternType="solid">
        <fgColor rgb="FFFFEECC"/>
        <bgColor rgb="FFFFF2CC"/>
      </patternFill>
    </fill>
    <fill>
      <patternFill patternType="solid">
        <fgColor rgb="FFFFFFCC"/>
        <bgColor rgb="FFFFF2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C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/>
    </xf>
    <xf numFmtId="0" fontId="0" fillId="6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4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 vertical="top" wrapText="1"/>
    </xf>
    <xf numFmtId="0" fontId="0" fillId="0" borderId="2" xfId="0" applyBorder="1"/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9" borderId="1" xfId="0" applyFill="1" applyBorder="1" applyAlignment="1">
      <alignment horizontal="center" wrapText="1"/>
    </xf>
    <xf numFmtId="0" fontId="0" fillId="0" borderId="0" xfId="0" applyProtection="1">
      <protection locked="0"/>
    </xf>
    <xf numFmtId="0" fontId="20" fillId="10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12" fillId="17" borderId="1" xfId="0" applyFont="1" applyFill="1" applyBorder="1" applyAlignment="1" applyProtection="1">
      <alignment horizontal="center"/>
      <protection locked="0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2" fillId="0" borderId="0" xfId="0" applyFont="1"/>
    <xf numFmtId="0" fontId="22" fillId="0" borderId="0" xfId="0" applyFont="1"/>
    <xf numFmtId="0" fontId="38" fillId="0" borderId="0" xfId="0" applyFont="1"/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40" fillId="0" borderId="0" xfId="0" applyFont="1" applyAlignment="1">
      <alignment horizontal="right" vertical="center"/>
    </xf>
    <xf numFmtId="0" fontId="41" fillId="4" borderId="4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32" fillId="0" borderId="0" xfId="0" applyFont="1" applyAlignment="1">
      <alignment horizontal="right"/>
    </xf>
    <xf numFmtId="0" fontId="44" fillId="27" borderId="4" xfId="0" applyFont="1" applyFill="1" applyBorder="1" applyAlignment="1">
      <alignment horizontal="center" vertical="center"/>
    </xf>
    <xf numFmtId="0" fontId="44" fillId="28" borderId="4" xfId="0" applyFont="1" applyFill="1" applyBorder="1" applyAlignment="1">
      <alignment horizontal="center" vertical="center"/>
    </xf>
    <xf numFmtId="0" fontId="44" fillId="29" borderId="4" xfId="0" applyFont="1" applyFill="1" applyBorder="1" applyAlignment="1">
      <alignment horizontal="center" vertical="center"/>
    </xf>
    <xf numFmtId="0" fontId="44" fillId="30" borderId="4" xfId="0" applyFont="1" applyFill="1" applyBorder="1" applyAlignment="1">
      <alignment horizontal="center" vertical="center"/>
    </xf>
    <xf numFmtId="0" fontId="44" fillId="31" borderId="4" xfId="0" applyFont="1" applyFill="1" applyBorder="1" applyAlignment="1">
      <alignment horizontal="center" vertical="center"/>
    </xf>
    <xf numFmtId="0" fontId="44" fillId="32" borderId="4" xfId="0" applyFont="1" applyFill="1" applyBorder="1" applyAlignment="1">
      <alignment horizontal="center" vertical="center"/>
    </xf>
    <xf numFmtId="0" fontId="24" fillId="33" borderId="4" xfId="0" applyFont="1" applyFill="1" applyBorder="1" applyAlignment="1">
      <alignment horizontal="center" vertical="center"/>
    </xf>
    <xf numFmtId="0" fontId="24" fillId="34" borderId="4" xfId="0" applyFont="1" applyFill="1" applyBorder="1" applyAlignment="1">
      <alignment horizontal="center" vertical="center"/>
    </xf>
    <xf numFmtId="0" fontId="24" fillId="35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4" fillId="36" borderId="4" xfId="0" applyFont="1" applyFill="1" applyBorder="1" applyAlignment="1">
      <alignment horizontal="center" vertical="center"/>
    </xf>
    <xf numFmtId="0" fontId="24" fillId="37" borderId="4" xfId="0" applyFont="1" applyFill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24" fillId="38" borderId="1" xfId="0" applyFont="1" applyFill="1" applyBorder="1"/>
    <xf numFmtId="0" fontId="49" fillId="0" borderId="1" xfId="0" applyFont="1" applyBorder="1" applyAlignment="1">
      <alignment horizontal="center" vertical="center"/>
    </xf>
    <xf numFmtId="0" fontId="0" fillId="0" borderId="0" xfId="0"/>
    <xf numFmtId="0" fontId="12" fillId="0" borderId="0" xfId="0" applyFont="1"/>
    <xf numFmtId="0" fontId="2" fillId="0" borderId="0" xfId="0" applyFont="1"/>
    <xf numFmtId="0" fontId="50" fillId="0" borderId="0" xfId="0" applyFont="1"/>
    <xf numFmtId="0" fontId="52" fillId="0" borderId="1" xfId="0" applyFont="1" applyBorder="1" applyAlignment="1">
      <alignment horizontal="center" vertical="center" wrapText="1"/>
    </xf>
    <xf numFmtId="0" fontId="54" fillId="0" borderId="0" xfId="0" applyFont="1"/>
    <xf numFmtId="0" fontId="55" fillId="0" borderId="0" xfId="0" applyFont="1"/>
    <xf numFmtId="0" fontId="6" fillId="0" borderId="0" xfId="0" applyFont="1"/>
    <xf numFmtId="0" fontId="0" fillId="0" borderId="0" xfId="0"/>
    <xf numFmtId="0" fontId="1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21" borderId="0" xfId="0" applyFont="1" applyFill="1" applyAlignment="1">
      <alignment horizontal="center"/>
    </xf>
    <xf numFmtId="0" fontId="2" fillId="23" borderId="0" xfId="0" applyFont="1" applyFill="1"/>
    <xf numFmtId="0" fontId="14" fillId="24" borderId="0" xfId="0" applyFont="1" applyFill="1" applyAlignment="1">
      <alignment horizontal="center"/>
    </xf>
    <xf numFmtId="0" fontId="21" fillId="12" borderId="0" xfId="0" applyFont="1" applyFill="1"/>
    <xf numFmtId="0" fontId="2" fillId="16" borderId="0" xfId="0" applyFont="1" applyFill="1"/>
    <xf numFmtId="0" fontId="33" fillId="0" borderId="0" xfId="0" applyFont="1" applyAlignment="1">
      <alignment horizontal="center"/>
    </xf>
    <xf numFmtId="0" fontId="2" fillId="0" borderId="0" xfId="0" applyFont="1"/>
    <xf numFmtId="0" fontId="27" fillId="0" borderId="0" xfId="0" applyFont="1"/>
    <xf numFmtId="0" fontId="12" fillId="17" borderId="1" xfId="0" applyFont="1" applyFill="1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14" borderId="0" xfId="0" applyFill="1"/>
    <xf numFmtId="0" fontId="14" fillId="22" borderId="0" xfId="0" applyFont="1" applyFill="1" applyAlignment="1">
      <alignment horizontal="center"/>
    </xf>
    <xf numFmtId="0" fontId="0" fillId="19" borderId="0" xfId="0" applyFill="1"/>
    <xf numFmtId="0" fontId="36" fillId="0" borderId="0" xfId="0" applyFont="1"/>
    <xf numFmtId="0" fontId="35" fillId="0" borderId="0" xfId="0" applyFont="1"/>
    <xf numFmtId="0" fontId="2" fillId="17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5" fillId="0" borderId="0" xfId="0" applyFont="1"/>
    <xf numFmtId="0" fontId="1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0" fillId="18" borderId="0" xfId="0" applyFill="1"/>
    <xf numFmtId="0" fontId="34" fillId="26" borderId="0" xfId="0" applyFont="1" applyFill="1"/>
    <xf numFmtId="0" fontId="17" fillId="10" borderId="0" xfId="0" applyFont="1" applyFill="1" applyAlignment="1">
      <alignment horizontal="center" vertical="center"/>
    </xf>
    <xf numFmtId="0" fontId="37" fillId="0" borderId="0" xfId="0" applyFont="1"/>
    <xf numFmtId="0" fontId="26" fillId="0" borderId="0" xfId="0" applyFont="1"/>
    <xf numFmtId="0" fontId="18" fillId="0" borderId="0" xfId="0" applyFont="1"/>
    <xf numFmtId="0" fontId="0" fillId="8" borderId="0" xfId="0" applyFill="1"/>
    <xf numFmtId="0" fontId="2" fillId="15" borderId="0" xfId="0" applyFont="1" applyFill="1"/>
    <xf numFmtId="0" fontId="14" fillId="7" borderId="0" xfId="0" applyFont="1" applyFill="1" applyAlignment="1">
      <alignment horizontal="center"/>
    </xf>
    <xf numFmtId="9" fontId="31" fillId="0" borderId="0" xfId="0" applyNumberFormat="1" applyFont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8" fillId="0" borderId="0" xfId="0" applyFont="1" applyAlignment="1">
      <alignment horizontal="center"/>
    </xf>
    <xf numFmtId="0" fontId="39" fillId="7" borderId="0" xfId="0" applyFont="1" applyFill="1" applyAlignment="1">
      <alignment horizontal="center" vertical="center"/>
    </xf>
    <xf numFmtId="0" fontId="47" fillId="0" borderId="0" xfId="0" applyFont="1" applyAlignment="1">
      <alignment horizontal="center"/>
    </xf>
    <xf numFmtId="0" fontId="46" fillId="19" borderId="1" xfId="0" applyFont="1" applyFill="1" applyBorder="1"/>
    <xf numFmtId="0" fontId="0" fillId="0" borderId="6" xfId="0" applyBorder="1"/>
    <xf numFmtId="0" fontId="39" fillId="10" borderId="0" xfId="0" applyFont="1" applyFill="1" applyAlignment="1">
      <alignment horizontal="center" vertical="center"/>
    </xf>
    <xf numFmtId="0" fontId="53" fillId="22" borderId="0" xfId="0" applyFont="1" applyFill="1" applyAlignment="1">
      <alignment horizontal="center"/>
    </xf>
    <xf numFmtId="0" fontId="43" fillId="0" borderId="0" xfId="0" applyFont="1"/>
    <xf numFmtId="0" fontId="51" fillId="14" borderId="0" xfId="0" applyFont="1" applyFill="1" applyAlignment="1">
      <alignment horizontal="center" vertical="center"/>
    </xf>
    <xf numFmtId="0" fontId="40" fillId="0" borderId="0" xfId="0" applyFont="1"/>
  </cellXfs>
  <cellStyles count="1">
    <cellStyle name="Normal" xfId="0" builtinId="0"/>
  </cellStyles>
  <dxfs count="5">
    <dxf>
      <fill>
        <patternFill>
          <bgColor rgb="FFFF6B6B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ill>
        <patternFill>
          <bgColor rgb="FFFF6B6B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4DFEC"/>
      <rgbColor rgb="FF0000FF"/>
      <rgbColor rgb="FFFFFF00"/>
      <rgbColor rgb="FFFCE4D6"/>
      <rgbColor rgb="FFD9E2F3"/>
      <rgbColor rgb="FF8B0000"/>
      <rgbColor rgb="FF008000"/>
      <rgbColor rgb="FF000080"/>
      <rgbColor rgb="FF009900"/>
      <rgbColor rgb="FF6600CC"/>
      <rgbColor rgb="FF0563C1"/>
      <rgbColor rgb="FFCCCCCC"/>
      <rgbColor rgb="FFD6DCE5"/>
      <rgbColor rgb="FF5B9BD5"/>
      <rgbColor rgb="FF7030A0"/>
      <rgbColor rgb="FFFFFFCC"/>
      <rgbColor rgb="FFDAEEF3"/>
      <rgbColor rgb="FF660066"/>
      <rgbColor rgb="FFFF6B6B"/>
      <rgbColor rgb="FF0066CC"/>
      <rgbColor rgb="FFE0CCFF"/>
      <rgbColor rgb="FF000080"/>
      <rgbColor rgb="FFEDEDED"/>
      <rgbColor rgb="FFFFEECC"/>
      <rgbColor rgb="FFE2EFDA"/>
      <rgbColor rgb="FFCC0000"/>
      <rgbColor rgb="FFC00000"/>
      <rgbColor rgb="FF1F4E79"/>
      <rgbColor rgb="FF0000FF"/>
      <rgbColor rgb="FF00B0F0"/>
      <rgbColor rgb="FFDDEBF7"/>
      <rgbColor rgb="FFCCFFCC"/>
      <rgbColor rgb="FFFFF2CC"/>
      <rgbColor rgb="FFCCE0FF"/>
      <rgbColor rgb="FFFFC7CE"/>
      <rgbColor rgb="FFD9D9D9"/>
      <rgbColor rgb="FFFFCCCC"/>
      <rgbColor rgb="FF4472C4"/>
      <rgbColor rgb="FFC6EFCE"/>
      <rgbColor rgb="FF92D050"/>
      <rgbColor rgb="FFFFE0CC"/>
      <rgbColor rgb="FFCC9900"/>
      <rgbColor rgb="FFFF6600"/>
      <rgbColor rgb="FF666666"/>
      <rgbColor rgb="FFD6DCE4"/>
      <rgbColor rgb="FF1F4E78"/>
      <rgbColor rgb="FF00B050"/>
      <rgbColor rgb="FF006400"/>
      <rgbColor rgb="FF333300"/>
      <rgbColor rgb="FF833C0C"/>
      <rgbColor rgb="FFC65911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190440</xdr:rowOff>
    </xdr:from>
    <xdr:to>
      <xdr:col>3</xdr:col>
      <xdr:colOff>793440</xdr:colOff>
      <xdr:row>15</xdr:row>
      <xdr:rowOff>28440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60"/>
          <a:ext cx="3331080" cy="26571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23</xdr:row>
      <xdr:rowOff>31320</xdr:rowOff>
    </xdr:from>
    <xdr:to>
      <xdr:col>3</xdr:col>
      <xdr:colOff>793440</xdr:colOff>
      <xdr:row>34</xdr:row>
      <xdr:rowOff>59760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36840"/>
          <a:ext cx="3331080" cy="26571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42</xdr:row>
      <xdr:rowOff>62280</xdr:rowOff>
    </xdr:from>
    <xdr:to>
      <xdr:col>3</xdr:col>
      <xdr:colOff>793440</xdr:colOff>
      <xdr:row>53</xdr:row>
      <xdr:rowOff>90720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320760"/>
          <a:ext cx="3331080" cy="26571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61</xdr:row>
      <xdr:rowOff>93240</xdr:rowOff>
    </xdr:from>
    <xdr:to>
      <xdr:col>3</xdr:col>
      <xdr:colOff>793440</xdr:colOff>
      <xdr:row>73</xdr:row>
      <xdr:rowOff>442080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04320"/>
          <a:ext cx="3331080" cy="26636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80</xdr:row>
      <xdr:rowOff>124560</xdr:rowOff>
    </xdr:from>
    <xdr:to>
      <xdr:col>3</xdr:col>
      <xdr:colOff>793440</xdr:colOff>
      <xdr:row>94</xdr:row>
      <xdr:rowOff>92160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688600"/>
          <a:ext cx="3331080" cy="2663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99</xdr:row>
      <xdr:rowOff>155520</xdr:rowOff>
    </xdr:from>
    <xdr:to>
      <xdr:col>3</xdr:col>
      <xdr:colOff>793440</xdr:colOff>
      <xdr:row>113</xdr:row>
      <xdr:rowOff>153000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872520"/>
          <a:ext cx="3331080" cy="26643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118</xdr:row>
      <xdr:rowOff>186840</xdr:rowOff>
    </xdr:from>
    <xdr:to>
      <xdr:col>3</xdr:col>
      <xdr:colOff>793440</xdr:colOff>
      <xdr:row>132</xdr:row>
      <xdr:rowOff>183960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056800"/>
          <a:ext cx="3331080" cy="26640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139</xdr:row>
      <xdr:rowOff>347400</xdr:rowOff>
    </xdr:from>
    <xdr:to>
      <xdr:col>3</xdr:col>
      <xdr:colOff>793440</xdr:colOff>
      <xdr:row>152</xdr:row>
      <xdr:rowOff>24840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246480"/>
          <a:ext cx="3331080" cy="26586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159</xdr:row>
      <xdr:rowOff>187920</xdr:rowOff>
    </xdr:from>
    <xdr:to>
      <xdr:col>3</xdr:col>
      <xdr:colOff>793440</xdr:colOff>
      <xdr:row>171</xdr:row>
      <xdr:rowOff>55800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4430400"/>
          <a:ext cx="3331080" cy="26586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131040</xdr:rowOff>
    </xdr:from>
    <xdr:to>
      <xdr:col>1</xdr:col>
      <xdr:colOff>664200</xdr:colOff>
      <xdr:row>5</xdr:row>
      <xdr:rowOff>461520</xdr:rowOff>
    </xdr:to>
    <xdr:pic>
      <xdr:nvPicPr>
        <xdr:cNvPr id="9" name="Image 1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1073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5</xdr:row>
      <xdr:rowOff>702000</xdr:rowOff>
    </xdr:from>
    <xdr:to>
      <xdr:col>1</xdr:col>
      <xdr:colOff>664200</xdr:colOff>
      <xdr:row>6</xdr:row>
      <xdr:rowOff>461520</xdr:rowOff>
    </xdr:to>
    <xdr:pic>
      <xdr:nvPicPr>
        <xdr:cNvPr id="10" name="Image 2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1835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6</xdr:row>
      <xdr:rowOff>702360</xdr:rowOff>
    </xdr:from>
    <xdr:to>
      <xdr:col>1</xdr:col>
      <xdr:colOff>664200</xdr:colOff>
      <xdr:row>7</xdr:row>
      <xdr:rowOff>461520</xdr:rowOff>
    </xdr:to>
    <xdr:pic>
      <xdr:nvPicPr>
        <xdr:cNvPr id="11" name="Image 3" descr="Pictur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880" y="2597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7</xdr:row>
      <xdr:rowOff>702360</xdr:rowOff>
    </xdr:from>
    <xdr:to>
      <xdr:col>1</xdr:col>
      <xdr:colOff>664200</xdr:colOff>
      <xdr:row>8</xdr:row>
      <xdr:rowOff>461520</xdr:rowOff>
    </xdr:to>
    <xdr:pic>
      <xdr:nvPicPr>
        <xdr:cNvPr id="12" name="Image 4" descr="Picture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3359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8</xdr:row>
      <xdr:rowOff>702000</xdr:rowOff>
    </xdr:from>
    <xdr:to>
      <xdr:col>1</xdr:col>
      <xdr:colOff>664200</xdr:colOff>
      <xdr:row>9</xdr:row>
      <xdr:rowOff>461520</xdr:rowOff>
    </xdr:to>
    <xdr:pic>
      <xdr:nvPicPr>
        <xdr:cNvPr id="13" name="Image 5" descr="Pictur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880" y="4121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10</xdr:row>
      <xdr:rowOff>130680</xdr:rowOff>
    </xdr:from>
    <xdr:to>
      <xdr:col>1</xdr:col>
      <xdr:colOff>664200</xdr:colOff>
      <xdr:row>11</xdr:row>
      <xdr:rowOff>461520</xdr:rowOff>
    </xdr:to>
    <xdr:pic>
      <xdr:nvPicPr>
        <xdr:cNvPr id="14" name="Image 6" descr="Picture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880" y="507420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11</xdr:row>
      <xdr:rowOff>702360</xdr:rowOff>
    </xdr:from>
    <xdr:to>
      <xdr:col>1</xdr:col>
      <xdr:colOff>664200</xdr:colOff>
      <xdr:row>12</xdr:row>
      <xdr:rowOff>461520</xdr:rowOff>
    </xdr:to>
    <xdr:pic>
      <xdr:nvPicPr>
        <xdr:cNvPr id="15" name="Image 7" descr="Picture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880" y="583632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12</xdr:row>
      <xdr:rowOff>702360</xdr:rowOff>
    </xdr:from>
    <xdr:to>
      <xdr:col>1</xdr:col>
      <xdr:colOff>664200</xdr:colOff>
      <xdr:row>13</xdr:row>
      <xdr:rowOff>461880</xdr:rowOff>
    </xdr:to>
    <xdr:pic>
      <xdr:nvPicPr>
        <xdr:cNvPr id="16" name="Image 8" descr="Picture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880" y="65984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13</xdr:row>
      <xdr:rowOff>702360</xdr:rowOff>
    </xdr:from>
    <xdr:to>
      <xdr:col>1</xdr:col>
      <xdr:colOff>664200</xdr:colOff>
      <xdr:row>14</xdr:row>
      <xdr:rowOff>461520</xdr:rowOff>
    </xdr:to>
    <xdr:pic>
      <xdr:nvPicPr>
        <xdr:cNvPr id="17" name="Image 9" descr="Pictur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880" y="736020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15</xdr:row>
      <xdr:rowOff>130680</xdr:rowOff>
    </xdr:from>
    <xdr:to>
      <xdr:col>1</xdr:col>
      <xdr:colOff>664200</xdr:colOff>
      <xdr:row>16</xdr:row>
      <xdr:rowOff>461520</xdr:rowOff>
    </xdr:to>
    <xdr:pic>
      <xdr:nvPicPr>
        <xdr:cNvPr id="18" name="Image 10" descr="Picture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880" y="8312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16</xdr:row>
      <xdr:rowOff>702360</xdr:rowOff>
    </xdr:from>
    <xdr:to>
      <xdr:col>1</xdr:col>
      <xdr:colOff>664200</xdr:colOff>
      <xdr:row>17</xdr:row>
      <xdr:rowOff>461520</xdr:rowOff>
    </xdr:to>
    <xdr:pic>
      <xdr:nvPicPr>
        <xdr:cNvPr id="19" name="Image 11" descr="Picture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880" y="9074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17</xdr:row>
      <xdr:rowOff>702000</xdr:rowOff>
    </xdr:from>
    <xdr:to>
      <xdr:col>1</xdr:col>
      <xdr:colOff>664200</xdr:colOff>
      <xdr:row>18</xdr:row>
      <xdr:rowOff>461520</xdr:rowOff>
    </xdr:to>
    <xdr:pic>
      <xdr:nvPicPr>
        <xdr:cNvPr id="20" name="Image 12" descr="Picture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880" y="9836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18</xdr:row>
      <xdr:rowOff>702360</xdr:rowOff>
    </xdr:from>
    <xdr:to>
      <xdr:col>1</xdr:col>
      <xdr:colOff>664200</xdr:colOff>
      <xdr:row>19</xdr:row>
      <xdr:rowOff>461520</xdr:rowOff>
    </xdr:to>
    <xdr:pic>
      <xdr:nvPicPr>
        <xdr:cNvPr id="21" name="Image 13" descr="Picture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880" y="10598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19</xdr:row>
      <xdr:rowOff>702360</xdr:rowOff>
    </xdr:from>
    <xdr:to>
      <xdr:col>1</xdr:col>
      <xdr:colOff>664200</xdr:colOff>
      <xdr:row>20</xdr:row>
      <xdr:rowOff>461520</xdr:rowOff>
    </xdr:to>
    <xdr:pic>
      <xdr:nvPicPr>
        <xdr:cNvPr id="22" name="Image 14" descr="Picture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880" y="11360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21</xdr:row>
      <xdr:rowOff>131040</xdr:rowOff>
    </xdr:from>
    <xdr:to>
      <xdr:col>1</xdr:col>
      <xdr:colOff>664200</xdr:colOff>
      <xdr:row>22</xdr:row>
      <xdr:rowOff>461880</xdr:rowOff>
    </xdr:to>
    <xdr:pic>
      <xdr:nvPicPr>
        <xdr:cNvPr id="23" name="Image 15" descr="Picture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880" y="123134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22</xdr:row>
      <xdr:rowOff>702360</xdr:rowOff>
    </xdr:from>
    <xdr:to>
      <xdr:col>1</xdr:col>
      <xdr:colOff>664200</xdr:colOff>
      <xdr:row>23</xdr:row>
      <xdr:rowOff>461520</xdr:rowOff>
    </xdr:to>
    <xdr:pic>
      <xdr:nvPicPr>
        <xdr:cNvPr id="24" name="Image 16" descr="Picture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880" y="1307520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23</xdr:row>
      <xdr:rowOff>702360</xdr:rowOff>
    </xdr:from>
    <xdr:to>
      <xdr:col>1</xdr:col>
      <xdr:colOff>664200</xdr:colOff>
      <xdr:row>24</xdr:row>
      <xdr:rowOff>461520</xdr:rowOff>
    </xdr:to>
    <xdr:pic>
      <xdr:nvPicPr>
        <xdr:cNvPr id="25" name="Image 17" descr="Picture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1383732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24</xdr:row>
      <xdr:rowOff>702360</xdr:rowOff>
    </xdr:from>
    <xdr:to>
      <xdr:col>1</xdr:col>
      <xdr:colOff>664200</xdr:colOff>
      <xdr:row>25</xdr:row>
      <xdr:rowOff>461880</xdr:rowOff>
    </xdr:to>
    <xdr:pic>
      <xdr:nvPicPr>
        <xdr:cNvPr id="26" name="Image 18" descr="Picture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880" y="145994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26</xdr:row>
      <xdr:rowOff>130680</xdr:rowOff>
    </xdr:from>
    <xdr:to>
      <xdr:col>1</xdr:col>
      <xdr:colOff>664200</xdr:colOff>
      <xdr:row>27</xdr:row>
      <xdr:rowOff>461520</xdr:rowOff>
    </xdr:to>
    <xdr:pic>
      <xdr:nvPicPr>
        <xdr:cNvPr id="27" name="Image 19" descr="Picture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880" y="15551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27</xdr:row>
      <xdr:rowOff>702360</xdr:rowOff>
    </xdr:from>
    <xdr:to>
      <xdr:col>1</xdr:col>
      <xdr:colOff>664200</xdr:colOff>
      <xdr:row>28</xdr:row>
      <xdr:rowOff>461520</xdr:rowOff>
    </xdr:to>
    <xdr:pic>
      <xdr:nvPicPr>
        <xdr:cNvPr id="28" name="Image 20" descr="Picture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880" y="16313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28</xdr:row>
      <xdr:rowOff>702360</xdr:rowOff>
    </xdr:from>
    <xdr:to>
      <xdr:col>1</xdr:col>
      <xdr:colOff>664200</xdr:colOff>
      <xdr:row>29</xdr:row>
      <xdr:rowOff>461520</xdr:rowOff>
    </xdr:to>
    <xdr:pic>
      <xdr:nvPicPr>
        <xdr:cNvPr id="29" name="Image 21" descr="Picture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880" y="17075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29</xdr:row>
      <xdr:rowOff>702000</xdr:rowOff>
    </xdr:from>
    <xdr:to>
      <xdr:col>1</xdr:col>
      <xdr:colOff>664200</xdr:colOff>
      <xdr:row>30</xdr:row>
      <xdr:rowOff>461520</xdr:rowOff>
    </xdr:to>
    <xdr:pic>
      <xdr:nvPicPr>
        <xdr:cNvPr id="30" name="Image 22" descr="Picture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880" y="17837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30</xdr:row>
      <xdr:rowOff>702360</xdr:rowOff>
    </xdr:from>
    <xdr:to>
      <xdr:col>1</xdr:col>
      <xdr:colOff>664200</xdr:colOff>
      <xdr:row>31</xdr:row>
      <xdr:rowOff>461520</xdr:rowOff>
    </xdr:to>
    <xdr:pic>
      <xdr:nvPicPr>
        <xdr:cNvPr id="31" name="Image 23" descr="Picture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18599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32</xdr:row>
      <xdr:rowOff>130680</xdr:rowOff>
    </xdr:from>
    <xdr:to>
      <xdr:col>1</xdr:col>
      <xdr:colOff>664200</xdr:colOff>
      <xdr:row>33</xdr:row>
      <xdr:rowOff>461520</xdr:rowOff>
    </xdr:to>
    <xdr:pic>
      <xdr:nvPicPr>
        <xdr:cNvPr id="32" name="Image 24" descr="Picture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880" y="1955232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33</xdr:row>
      <xdr:rowOff>702360</xdr:rowOff>
    </xdr:from>
    <xdr:to>
      <xdr:col>1</xdr:col>
      <xdr:colOff>664200</xdr:colOff>
      <xdr:row>34</xdr:row>
      <xdr:rowOff>461880</xdr:rowOff>
    </xdr:to>
    <xdr:pic>
      <xdr:nvPicPr>
        <xdr:cNvPr id="33" name="Image 25" descr="Picture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880" y="203144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34</xdr:row>
      <xdr:rowOff>702360</xdr:rowOff>
    </xdr:from>
    <xdr:to>
      <xdr:col>1</xdr:col>
      <xdr:colOff>664200</xdr:colOff>
      <xdr:row>35</xdr:row>
      <xdr:rowOff>461520</xdr:rowOff>
    </xdr:to>
    <xdr:pic>
      <xdr:nvPicPr>
        <xdr:cNvPr id="34" name="Image 26" descr="Pictur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2107620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35</xdr:row>
      <xdr:rowOff>702360</xdr:rowOff>
    </xdr:from>
    <xdr:to>
      <xdr:col>1</xdr:col>
      <xdr:colOff>664200</xdr:colOff>
      <xdr:row>36</xdr:row>
      <xdr:rowOff>461520</xdr:rowOff>
    </xdr:to>
    <xdr:pic>
      <xdr:nvPicPr>
        <xdr:cNvPr id="35" name="Image 27" descr="Picture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880" y="2183832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37</xdr:row>
      <xdr:rowOff>131040</xdr:rowOff>
    </xdr:from>
    <xdr:to>
      <xdr:col>1</xdr:col>
      <xdr:colOff>664200</xdr:colOff>
      <xdr:row>38</xdr:row>
      <xdr:rowOff>461520</xdr:rowOff>
    </xdr:to>
    <xdr:pic>
      <xdr:nvPicPr>
        <xdr:cNvPr id="36" name="Image 28" descr="Picture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880" y="2279088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38</xdr:row>
      <xdr:rowOff>702000</xdr:rowOff>
    </xdr:from>
    <xdr:to>
      <xdr:col>1</xdr:col>
      <xdr:colOff>664200</xdr:colOff>
      <xdr:row>39</xdr:row>
      <xdr:rowOff>461520</xdr:rowOff>
    </xdr:to>
    <xdr:pic>
      <xdr:nvPicPr>
        <xdr:cNvPr id="37" name="Image 29" descr="Picture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880" y="2355264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39</xdr:row>
      <xdr:rowOff>702360</xdr:rowOff>
    </xdr:from>
    <xdr:to>
      <xdr:col>1</xdr:col>
      <xdr:colOff>664200</xdr:colOff>
      <xdr:row>40</xdr:row>
      <xdr:rowOff>461520</xdr:rowOff>
    </xdr:to>
    <xdr:pic>
      <xdr:nvPicPr>
        <xdr:cNvPr id="38" name="Image 30" descr="Picture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880" y="24314760"/>
          <a:ext cx="664200" cy="52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160560</xdr:rowOff>
    </xdr:from>
    <xdr:to>
      <xdr:col>7</xdr:col>
      <xdr:colOff>745920</xdr:colOff>
      <xdr:row>34</xdr:row>
      <xdr:rowOff>198000</xdr:rowOff>
    </xdr:to>
    <xdr:pic>
      <xdr:nvPicPr>
        <xdr:cNvPr id="39" name="Image 1" descr="Picture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59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52</xdr:row>
      <xdr:rowOff>160560</xdr:rowOff>
    </xdr:from>
    <xdr:to>
      <xdr:col>7</xdr:col>
      <xdr:colOff>745920</xdr:colOff>
      <xdr:row>79</xdr:row>
      <xdr:rowOff>198000</xdr:rowOff>
    </xdr:to>
    <xdr:pic>
      <xdr:nvPicPr>
        <xdr:cNvPr id="40" name="Image 2" descr="Picture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0504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97</xdr:row>
      <xdr:rowOff>160920</xdr:rowOff>
    </xdr:from>
    <xdr:to>
      <xdr:col>7</xdr:col>
      <xdr:colOff>745920</xdr:colOff>
      <xdr:row>124</xdr:row>
      <xdr:rowOff>198360</xdr:rowOff>
    </xdr:to>
    <xdr:pic>
      <xdr:nvPicPr>
        <xdr:cNvPr id="41" name="Image 3" descr="Picture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5545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142</xdr:row>
      <xdr:rowOff>160560</xdr:rowOff>
    </xdr:from>
    <xdr:to>
      <xdr:col>7</xdr:col>
      <xdr:colOff>745920</xdr:colOff>
      <xdr:row>169</xdr:row>
      <xdr:rowOff>198000</xdr:rowOff>
    </xdr:to>
    <xdr:pic>
      <xdr:nvPicPr>
        <xdr:cNvPr id="42" name="Image 4" descr="Picture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56029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187</xdr:row>
      <xdr:rowOff>160560</xdr:rowOff>
    </xdr:from>
    <xdr:to>
      <xdr:col>7</xdr:col>
      <xdr:colOff>745920</xdr:colOff>
      <xdr:row>214</xdr:row>
      <xdr:rowOff>198000</xdr:rowOff>
    </xdr:to>
    <xdr:pic>
      <xdr:nvPicPr>
        <xdr:cNvPr id="43" name="Image 5" descr="Picture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65204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232</xdr:row>
      <xdr:rowOff>160920</xdr:rowOff>
    </xdr:from>
    <xdr:to>
      <xdr:col>7</xdr:col>
      <xdr:colOff>745920</xdr:colOff>
      <xdr:row>259</xdr:row>
      <xdr:rowOff>198360</xdr:rowOff>
    </xdr:to>
    <xdr:pic>
      <xdr:nvPicPr>
        <xdr:cNvPr id="44" name="Image 6" descr="Picture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7015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277</xdr:row>
      <xdr:rowOff>160560</xdr:rowOff>
    </xdr:from>
    <xdr:to>
      <xdr:col>7</xdr:col>
      <xdr:colOff>745920</xdr:colOff>
      <xdr:row>304</xdr:row>
      <xdr:rowOff>198000</xdr:rowOff>
    </xdr:to>
    <xdr:pic>
      <xdr:nvPicPr>
        <xdr:cNvPr id="45" name="Image 7" descr="Picture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87499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322</xdr:row>
      <xdr:rowOff>160560</xdr:rowOff>
    </xdr:from>
    <xdr:to>
      <xdr:col>7</xdr:col>
      <xdr:colOff>745920</xdr:colOff>
      <xdr:row>349</xdr:row>
      <xdr:rowOff>198000</xdr:rowOff>
    </xdr:to>
    <xdr:pic>
      <xdr:nvPicPr>
        <xdr:cNvPr id="46" name="Image 8" descr="Picture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979904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367</xdr:row>
      <xdr:rowOff>160920</xdr:rowOff>
    </xdr:from>
    <xdr:to>
      <xdr:col>7</xdr:col>
      <xdr:colOff>745920</xdr:colOff>
      <xdr:row>394</xdr:row>
      <xdr:rowOff>198360</xdr:rowOff>
    </xdr:to>
    <xdr:pic>
      <xdr:nvPicPr>
        <xdr:cNvPr id="47" name="Image 9" descr="Picture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0848520"/>
          <a:ext cx="6666840" cy="66668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y%20view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y view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#PlayViewer!A96" TargetMode="External"/><Relationship Id="rId18" Type="http://schemas.openxmlformats.org/officeDocument/2006/relationships/hyperlink" Target="#PlayViewer!B3" TargetMode="External"/><Relationship Id="rId26" Type="http://schemas.openxmlformats.org/officeDocument/2006/relationships/hyperlink" Target="#PlayViewer!B3" TargetMode="External"/><Relationship Id="rId39" Type="http://schemas.openxmlformats.org/officeDocument/2006/relationships/hyperlink" Target="#PlayViewer!A276" TargetMode="External"/><Relationship Id="rId21" Type="http://schemas.openxmlformats.org/officeDocument/2006/relationships/hyperlink" Target="#PlayViewer!A186" TargetMode="External"/><Relationship Id="rId34" Type="http://schemas.openxmlformats.org/officeDocument/2006/relationships/hyperlink" Target="#PlayViewer!B3" TargetMode="External"/><Relationship Id="rId42" Type="http://schemas.openxmlformats.org/officeDocument/2006/relationships/hyperlink" Target="#PlayViewer!B3" TargetMode="External"/><Relationship Id="rId47" Type="http://schemas.openxmlformats.org/officeDocument/2006/relationships/hyperlink" Target="#PlayViewer!A321" TargetMode="External"/><Relationship Id="rId50" Type="http://schemas.openxmlformats.org/officeDocument/2006/relationships/hyperlink" Target="#PlayViewer!B3" TargetMode="External"/><Relationship Id="rId55" Type="http://schemas.openxmlformats.org/officeDocument/2006/relationships/hyperlink" Target="#PlayViewer!A141" TargetMode="External"/><Relationship Id="rId7" Type="http://schemas.openxmlformats.org/officeDocument/2006/relationships/hyperlink" Target="#PlayViewer!A9" TargetMode="External"/><Relationship Id="rId2" Type="http://schemas.openxmlformats.org/officeDocument/2006/relationships/hyperlink" Target="#PlayViewer!B3" TargetMode="External"/><Relationship Id="rId16" Type="http://schemas.openxmlformats.org/officeDocument/2006/relationships/hyperlink" Target="#PlayViewer!B3" TargetMode="External"/><Relationship Id="rId29" Type="http://schemas.openxmlformats.org/officeDocument/2006/relationships/hyperlink" Target="#PlayViewer!A231" TargetMode="External"/><Relationship Id="rId11" Type="http://schemas.openxmlformats.org/officeDocument/2006/relationships/hyperlink" Target="#PlayViewer!A96" TargetMode="External"/><Relationship Id="rId24" Type="http://schemas.openxmlformats.org/officeDocument/2006/relationships/hyperlink" Target="#PlayViewer!B3" TargetMode="External"/><Relationship Id="rId32" Type="http://schemas.openxmlformats.org/officeDocument/2006/relationships/hyperlink" Target="#PlayViewer!B3" TargetMode="External"/><Relationship Id="rId37" Type="http://schemas.openxmlformats.org/officeDocument/2006/relationships/hyperlink" Target="#PlayViewer!A276" TargetMode="External"/><Relationship Id="rId40" Type="http://schemas.openxmlformats.org/officeDocument/2006/relationships/hyperlink" Target="#PlayViewer!B3" TargetMode="External"/><Relationship Id="rId45" Type="http://schemas.openxmlformats.org/officeDocument/2006/relationships/hyperlink" Target="#PlayViewer!A9" TargetMode="External"/><Relationship Id="rId53" Type="http://schemas.openxmlformats.org/officeDocument/2006/relationships/hyperlink" Target="#PlayViewer!A321" TargetMode="External"/><Relationship Id="rId58" Type="http://schemas.openxmlformats.org/officeDocument/2006/relationships/hyperlink" Target="#PlayViewer!B3" TargetMode="External"/><Relationship Id="rId5" Type="http://schemas.openxmlformats.org/officeDocument/2006/relationships/hyperlink" Target="#PlayViewer!A51" TargetMode="External"/><Relationship Id="rId61" Type="http://schemas.openxmlformats.org/officeDocument/2006/relationships/drawing" Target="../drawings/drawing2.xml"/><Relationship Id="rId19" Type="http://schemas.openxmlformats.org/officeDocument/2006/relationships/hyperlink" Target="#PlayViewer!A186" TargetMode="External"/><Relationship Id="rId14" Type="http://schemas.openxmlformats.org/officeDocument/2006/relationships/hyperlink" Target="#PlayViewer!B3" TargetMode="External"/><Relationship Id="rId22" Type="http://schemas.openxmlformats.org/officeDocument/2006/relationships/hyperlink" Target="#PlayViewer!B3" TargetMode="External"/><Relationship Id="rId27" Type="http://schemas.openxmlformats.org/officeDocument/2006/relationships/hyperlink" Target="#PlayViewer!A321" TargetMode="External"/><Relationship Id="rId30" Type="http://schemas.openxmlformats.org/officeDocument/2006/relationships/hyperlink" Target="#PlayViewer!B3" TargetMode="External"/><Relationship Id="rId35" Type="http://schemas.openxmlformats.org/officeDocument/2006/relationships/hyperlink" Target="#PlayViewer!A231" TargetMode="External"/><Relationship Id="rId43" Type="http://schemas.openxmlformats.org/officeDocument/2006/relationships/hyperlink" Target="#PlayViewer!A51" TargetMode="External"/><Relationship Id="rId48" Type="http://schemas.openxmlformats.org/officeDocument/2006/relationships/hyperlink" Target="#PlayViewer!B3" TargetMode="External"/><Relationship Id="rId56" Type="http://schemas.openxmlformats.org/officeDocument/2006/relationships/hyperlink" Target="#PlayViewer!B3" TargetMode="External"/><Relationship Id="rId8" Type="http://schemas.openxmlformats.org/officeDocument/2006/relationships/hyperlink" Target="#PlayViewer!B3" TargetMode="External"/><Relationship Id="rId51" Type="http://schemas.openxmlformats.org/officeDocument/2006/relationships/hyperlink" Target="#PlayViewer!A9" TargetMode="External"/><Relationship Id="rId3" Type="http://schemas.openxmlformats.org/officeDocument/2006/relationships/hyperlink" Target="#PlayViewer!A9" TargetMode="External"/><Relationship Id="rId12" Type="http://schemas.openxmlformats.org/officeDocument/2006/relationships/hyperlink" Target="#PlayViewer!B3" TargetMode="External"/><Relationship Id="rId17" Type="http://schemas.openxmlformats.org/officeDocument/2006/relationships/hyperlink" Target="#PlayViewer!A366" TargetMode="External"/><Relationship Id="rId25" Type="http://schemas.openxmlformats.org/officeDocument/2006/relationships/hyperlink" Target="#PlayViewer!A186" TargetMode="External"/><Relationship Id="rId33" Type="http://schemas.openxmlformats.org/officeDocument/2006/relationships/hyperlink" Target="#PlayViewer!A9" TargetMode="External"/><Relationship Id="rId38" Type="http://schemas.openxmlformats.org/officeDocument/2006/relationships/hyperlink" Target="#PlayViewer!B3" TargetMode="External"/><Relationship Id="rId46" Type="http://schemas.openxmlformats.org/officeDocument/2006/relationships/hyperlink" Target="#PlayViewer!B3" TargetMode="External"/><Relationship Id="rId59" Type="http://schemas.openxmlformats.org/officeDocument/2006/relationships/hyperlink" Target="#PlayViewer!A186" TargetMode="External"/><Relationship Id="rId20" Type="http://schemas.openxmlformats.org/officeDocument/2006/relationships/hyperlink" Target="#PlayViewer!B3" TargetMode="External"/><Relationship Id="rId41" Type="http://schemas.openxmlformats.org/officeDocument/2006/relationships/hyperlink" Target="#PlayViewer!A366" TargetMode="External"/><Relationship Id="rId54" Type="http://schemas.openxmlformats.org/officeDocument/2006/relationships/hyperlink" Target="#PlayViewer!B3" TargetMode="External"/><Relationship Id="rId1" Type="http://schemas.openxmlformats.org/officeDocument/2006/relationships/hyperlink" Target="#PlayViewer!A9" TargetMode="External"/><Relationship Id="rId6" Type="http://schemas.openxmlformats.org/officeDocument/2006/relationships/hyperlink" Target="#PlayViewer!B3" TargetMode="External"/><Relationship Id="rId15" Type="http://schemas.openxmlformats.org/officeDocument/2006/relationships/hyperlink" Target="#PlayViewer!A141" TargetMode="External"/><Relationship Id="rId23" Type="http://schemas.openxmlformats.org/officeDocument/2006/relationships/hyperlink" Target="#PlayViewer!A276" TargetMode="External"/><Relationship Id="rId28" Type="http://schemas.openxmlformats.org/officeDocument/2006/relationships/hyperlink" Target="#PlayViewer!B3" TargetMode="External"/><Relationship Id="rId36" Type="http://schemas.openxmlformats.org/officeDocument/2006/relationships/hyperlink" Target="#PlayViewer!B3" TargetMode="External"/><Relationship Id="rId49" Type="http://schemas.openxmlformats.org/officeDocument/2006/relationships/hyperlink" Target="#PlayViewer!A321" TargetMode="External"/><Relationship Id="rId57" Type="http://schemas.openxmlformats.org/officeDocument/2006/relationships/hyperlink" Target="#PlayViewer!A9" TargetMode="External"/><Relationship Id="rId10" Type="http://schemas.openxmlformats.org/officeDocument/2006/relationships/hyperlink" Target="#PlayViewer!B3" TargetMode="External"/><Relationship Id="rId31" Type="http://schemas.openxmlformats.org/officeDocument/2006/relationships/hyperlink" Target="#PlayViewer!A231" TargetMode="External"/><Relationship Id="rId44" Type="http://schemas.openxmlformats.org/officeDocument/2006/relationships/hyperlink" Target="#PlayViewer!B3" TargetMode="External"/><Relationship Id="rId52" Type="http://schemas.openxmlformats.org/officeDocument/2006/relationships/hyperlink" Target="#PlayViewer!B3" TargetMode="External"/><Relationship Id="rId60" Type="http://schemas.openxmlformats.org/officeDocument/2006/relationships/hyperlink" Target="#PlayViewer!B3" TargetMode="External"/><Relationship Id="rId4" Type="http://schemas.openxmlformats.org/officeDocument/2006/relationships/hyperlink" Target="#PlayViewer!B3" TargetMode="External"/><Relationship Id="rId9" Type="http://schemas.openxmlformats.org/officeDocument/2006/relationships/hyperlink" Target="#PlayViewer!A14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#PlayViewer!B3" TargetMode="External"/><Relationship Id="rId3" Type="http://schemas.openxmlformats.org/officeDocument/2006/relationships/hyperlink" Target="#PlayViewer!B3" TargetMode="External"/><Relationship Id="rId7" Type="http://schemas.openxmlformats.org/officeDocument/2006/relationships/hyperlink" Target="#PlayViewer!B3" TargetMode="External"/><Relationship Id="rId2" Type="http://schemas.openxmlformats.org/officeDocument/2006/relationships/hyperlink" Target="#PlayViewer!B3" TargetMode="External"/><Relationship Id="rId1" Type="http://schemas.openxmlformats.org/officeDocument/2006/relationships/hyperlink" Target="#'Game Plan - 30 Plays'!A1" TargetMode="External"/><Relationship Id="rId6" Type="http://schemas.openxmlformats.org/officeDocument/2006/relationships/hyperlink" Target="#PlayViewer!B3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#PlayViewer!B3" TargetMode="External"/><Relationship Id="rId10" Type="http://schemas.openxmlformats.org/officeDocument/2006/relationships/hyperlink" Target="#PlayViewer!B3" TargetMode="External"/><Relationship Id="rId4" Type="http://schemas.openxmlformats.org/officeDocument/2006/relationships/hyperlink" Target="#PlayViewer!B3" TargetMode="External"/><Relationship Id="rId9" Type="http://schemas.openxmlformats.org/officeDocument/2006/relationships/hyperlink" Target="#PlayViewer!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Normal="100" workbookViewId="0"/>
  </sheetViews>
  <sheetFormatPr defaultColWidth="8.609375" defaultRowHeight="15" customHeight="1" x14ac:dyDescent="0.2"/>
  <cols>
    <col min="1" max="1" width="22.05859375" style="80" customWidth="1"/>
    <col min="2" max="2" width="11.97265625" style="80" customWidth="1"/>
    <col min="3" max="3" width="20.04296875" style="80" customWidth="1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2" t="s">
        <v>3</v>
      </c>
      <c r="B2" s="3">
        <v>73</v>
      </c>
      <c r="C2" s="2" t="s">
        <v>4</v>
      </c>
    </row>
    <row r="3" spans="1:3" ht="15" customHeight="1" x14ac:dyDescent="0.2">
      <c r="A3" s="2" t="s">
        <v>5</v>
      </c>
      <c r="B3" s="3">
        <v>0</v>
      </c>
      <c r="C3" s="2" t="s">
        <v>6</v>
      </c>
    </row>
    <row r="4" spans="1:3" ht="15" customHeight="1" x14ac:dyDescent="0.2">
      <c r="A4" s="2" t="s">
        <v>7</v>
      </c>
      <c r="B4" s="3">
        <v>6</v>
      </c>
      <c r="C4" s="2" t="s">
        <v>6</v>
      </c>
    </row>
    <row r="5" spans="1:3" ht="15" customHeight="1" x14ac:dyDescent="0.2">
      <c r="A5" s="2" t="s">
        <v>8</v>
      </c>
      <c r="B5" s="3">
        <v>23</v>
      </c>
      <c r="C5" s="2" t="s">
        <v>9</v>
      </c>
    </row>
    <row r="6" spans="1:3" ht="15" customHeight="1" x14ac:dyDescent="0.2">
      <c r="A6" s="2" t="s">
        <v>10</v>
      </c>
      <c r="B6" s="3">
        <v>16</v>
      </c>
      <c r="C6" s="2" t="s">
        <v>11</v>
      </c>
    </row>
    <row r="7" spans="1:3" ht="15" customHeight="1" x14ac:dyDescent="0.2">
      <c r="A7" s="2" t="s">
        <v>12</v>
      </c>
      <c r="B7" s="3">
        <v>2</v>
      </c>
      <c r="C7" s="2" t="s">
        <v>13</v>
      </c>
    </row>
    <row r="8" spans="1:3" ht="15" customHeight="1" x14ac:dyDescent="0.2">
      <c r="A8" s="2" t="s">
        <v>14</v>
      </c>
      <c r="B8" s="3">
        <v>12</v>
      </c>
      <c r="C8" s="2" t="s">
        <v>9</v>
      </c>
    </row>
    <row r="9" spans="1:3" ht="15" customHeight="1" x14ac:dyDescent="0.2">
      <c r="A9" s="2" t="s">
        <v>15</v>
      </c>
      <c r="B9" s="3">
        <v>10</v>
      </c>
      <c r="C9" s="2" t="s">
        <v>16</v>
      </c>
    </row>
    <row r="10" spans="1:3" ht="15" customHeight="1" x14ac:dyDescent="0.2">
      <c r="A10" s="2" t="s">
        <v>17</v>
      </c>
      <c r="B10" s="3">
        <v>8</v>
      </c>
      <c r="C10" s="2" t="s">
        <v>16</v>
      </c>
    </row>
    <row r="11" spans="1:3" ht="15" customHeight="1" x14ac:dyDescent="0.2">
      <c r="A11" s="2" t="s">
        <v>18</v>
      </c>
      <c r="B11" s="3">
        <v>20</v>
      </c>
      <c r="C11" s="2" t="s">
        <v>4</v>
      </c>
    </row>
    <row r="14" spans="1:3" ht="15" customHeight="1" x14ac:dyDescent="0.2">
      <c r="A14" s="82" t="s">
        <v>19</v>
      </c>
    </row>
    <row r="15" spans="1:3" ht="15" customHeight="1" x14ac:dyDescent="0.2">
      <c r="A15" s="82" t="s">
        <v>13</v>
      </c>
      <c r="B15" t="e">
        <f ca="1">center</f>
        <v>#NAME?</v>
      </c>
    </row>
    <row r="16" spans="1:3" ht="15" customHeight="1" x14ac:dyDescent="0.2">
      <c r="A16" s="82" t="s">
        <v>20</v>
      </c>
      <c r="B16" t="e">
        <f ca="1">quarterback</f>
        <v>#NAME?</v>
      </c>
    </row>
    <row r="17" spans="1:2" ht="15" customHeight="1" x14ac:dyDescent="0.2">
      <c r="A17" s="82" t="s">
        <v>21</v>
      </c>
      <c r="B17" t="e">
        <f ca="1">wide receiver</f>
        <v>#NAME?</v>
      </c>
    </row>
    <row r="18" spans="1:2" ht="15" customHeight="1" x14ac:dyDescent="0.2">
      <c r="A18" s="82" t="s">
        <v>22</v>
      </c>
      <c r="B18" t="e">
        <f ca="1">wide receiver</f>
        <v>#NAME?</v>
      </c>
    </row>
    <row r="19" spans="1:2" ht="15" customHeight="1" x14ac:dyDescent="0.2">
      <c r="A19" s="82" t="s">
        <v>23</v>
      </c>
      <c r="B19" t="e">
        <f ca="1">tight end</f>
        <v>#NAME?</v>
      </c>
    </row>
    <row r="20" spans="1:2" ht="15" customHeight="1" x14ac:dyDescent="0.2">
      <c r="A20" s="82" t="s">
        <v>24</v>
      </c>
      <c r="B20" t="e">
        <f ca="1">receiver</f>
        <v>#NAME?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1"/>
  <sheetViews>
    <sheetView zoomScaleNormal="100" workbookViewId="0"/>
  </sheetViews>
  <sheetFormatPr defaultColWidth="8.875" defaultRowHeight="15" customHeight="1" x14ac:dyDescent="0.2"/>
  <cols>
    <col min="1" max="1" width="7.93359375" style="80" customWidth="1"/>
    <col min="2" max="2" width="22.05859375" style="80" customWidth="1"/>
    <col min="3" max="8" width="18.0234375" style="80" customWidth="1"/>
    <col min="9" max="9" width="25.01953125" style="80" customWidth="1"/>
  </cols>
  <sheetData>
    <row r="1" spans="1:9" ht="30" customHeight="1" x14ac:dyDescent="0.2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</row>
    <row r="2" spans="1:9" ht="15" customHeight="1" x14ac:dyDescent="0.2">
      <c r="A2" s="5">
        <f>IF(B2&lt;&gt;"", ROW()-1, "")</f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/>
    </row>
    <row r="3" spans="1:9" ht="15" customHeight="1" x14ac:dyDescent="0.2">
      <c r="A3" s="5">
        <f>IF(B3&lt;&gt;"", ROW()-1, "")</f>
        <v>2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/>
    </row>
    <row r="4" spans="1:9" ht="15" customHeight="1" x14ac:dyDescent="0.2">
      <c r="A4" s="5">
        <f>IF(B4&lt;&gt;"", ROW()-1, "")</f>
        <v>3</v>
      </c>
      <c r="B4" s="6" t="s">
        <v>41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/>
    </row>
    <row r="5" spans="1:9" ht="15" customHeight="1" x14ac:dyDescent="0.2">
      <c r="A5" s="5">
        <f>IF(B5&lt;&gt;"", ROW()-1, "")</f>
        <v>4</v>
      </c>
      <c r="B5" s="6" t="s">
        <v>42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/>
    </row>
    <row r="6" spans="1:9" ht="15" customHeight="1" x14ac:dyDescent="0.2">
      <c r="A6" s="7">
        <f>IF(B6&lt;&gt;"", ROW()-1, "")</f>
        <v>5</v>
      </c>
      <c r="B6" s="8" t="s">
        <v>34</v>
      </c>
      <c r="C6" s="8" t="s">
        <v>43</v>
      </c>
      <c r="D6" s="8" t="s">
        <v>36</v>
      </c>
      <c r="E6" s="8" t="s">
        <v>37</v>
      </c>
      <c r="F6" s="8" t="s">
        <v>44</v>
      </c>
      <c r="G6" s="8" t="s">
        <v>45</v>
      </c>
      <c r="H6" s="8" t="s">
        <v>46</v>
      </c>
      <c r="I6" s="8"/>
    </row>
    <row r="7" spans="1:9" ht="15" customHeight="1" x14ac:dyDescent="0.2">
      <c r="A7" s="7">
        <f>IF(B7&lt;&gt;"", ROW()-1, "")</f>
        <v>6</v>
      </c>
      <c r="B7" s="8" t="s">
        <v>47</v>
      </c>
      <c r="C7" s="8" t="s">
        <v>43</v>
      </c>
      <c r="D7" s="8" t="s">
        <v>36</v>
      </c>
      <c r="E7" s="8" t="s">
        <v>37</v>
      </c>
      <c r="F7" s="8" t="s">
        <v>44</v>
      </c>
      <c r="G7" s="8" t="s">
        <v>45</v>
      </c>
      <c r="H7" s="8" t="s">
        <v>46</v>
      </c>
      <c r="I7" s="8"/>
    </row>
    <row r="8" spans="1:9" ht="15" customHeight="1" x14ac:dyDescent="0.2">
      <c r="A8" s="7">
        <f>IF(B8&lt;&gt;"", ROW()-1, "")</f>
        <v>7</v>
      </c>
      <c r="B8" s="8" t="s">
        <v>41</v>
      </c>
      <c r="C8" s="8" t="s">
        <v>43</v>
      </c>
      <c r="D8" s="8" t="s">
        <v>36</v>
      </c>
      <c r="E8" s="8" t="s">
        <v>37</v>
      </c>
      <c r="F8" s="8" t="s">
        <v>44</v>
      </c>
      <c r="G8" s="8" t="s">
        <v>45</v>
      </c>
      <c r="H8" s="8" t="s">
        <v>46</v>
      </c>
      <c r="I8" s="8"/>
    </row>
    <row r="9" spans="1:9" ht="15" customHeight="1" x14ac:dyDescent="0.2">
      <c r="A9" s="7">
        <f>IF(B9&lt;&gt;"", ROW()-1, "")</f>
        <v>8</v>
      </c>
      <c r="B9" s="8" t="s">
        <v>48</v>
      </c>
      <c r="C9" s="8" t="s">
        <v>43</v>
      </c>
      <c r="D9" s="8" t="s">
        <v>36</v>
      </c>
      <c r="E9" s="8" t="s">
        <v>37</v>
      </c>
      <c r="F9" s="8" t="s">
        <v>44</v>
      </c>
      <c r="G9" s="8" t="s">
        <v>45</v>
      </c>
      <c r="H9" s="8" t="s">
        <v>46</v>
      </c>
      <c r="I9" s="8"/>
    </row>
    <row r="10" spans="1:9" ht="15" customHeight="1" x14ac:dyDescent="0.2">
      <c r="A10" s="9">
        <f>IF(B10&lt;&gt;"", ROW()-1, "")</f>
        <v>9</v>
      </c>
      <c r="B10" s="10" t="s">
        <v>42</v>
      </c>
      <c r="C10" s="10" t="s">
        <v>35</v>
      </c>
      <c r="D10" s="10" t="s">
        <v>45</v>
      </c>
      <c r="E10" s="10" t="s">
        <v>38</v>
      </c>
      <c r="F10" s="10" t="s">
        <v>36</v>
      </c>
      <c r="G10" s="10" t="s">
        <v>39</v>
      </c>
      <c r="H10" s="10" t="s">
        <v>40</v>
      </c>
      <c r="I10" s="10"/>
    </row>
    <row r="11" spans="1:9" ht="15" customHeight="1" x14ac:dyDescent="0.2">
      <c r="A11" s="9">
        <f>IF(B11&lt;&gt;"", ROW()-1, "")</f>
        <v>10</v>
      </c>
      <c r="B11" s="10" t="s">
        <v>49</v>
      </c>
      <c r="C11" s="10" t="s">
        <v>35</v>
      </c>
      <c r="D11" s="10" t="s">
        <v>45</v>
      </c>
      <c r="E11" s="10" t="s">
        <v>38</v>
      </c>
      <c r="F11" s="10" t="s">
        <v>36</v>
      </c>
      <c r="G11" s="10" t="s">
        <v>39</v>
      </c>
      <c r="H11" s="10" t="s">
        <v>40</v>
      </c>
      <c r="I11" s="10"/>
    </row>
    <row r="12" spans="1:9" ht="15" customHeight="1" x14ac:dyDescent="0.2">
      <c r="A12" s="9">
        <f>IF(B12&lt;&gt;"", ROW()-1, "")</f>
        <v>11</v>
      </c>
      <c r="B12" s="10" t="s">
        <v>50</v>
      </c>
      <c r="C12" s="10" t="s">
        <v>35</v>
      </c>
      <c r="D12" s="10" t="s">
        <v>45</v>
      </c>
      <c r="E12" s="10" t="s">
        <v>38</v>
      </c>
      <c r="F12" s="10" t="s">
        <v>36</v>
      </c>
      <c r="G12" s="10" t="s">
        <v>39</v>
      </c>
      <c r="H12" s="10" t="s">
        <v>40</v>
      </c>
      <c r="I12" s="10"/>
    </row>
    <row r="13" spans="1:9" ht="15" customHeight="1" x14ac:dyDescent="0.2">
      <c r="A13" s="9">
        <f>IF(B13&lt;&gt;"", ROW()-1, "")</f>
        <v>12</v>
      </c>
      <c r="B13" s="10" t="s">
        <v>34</v>
      </c>
      <c r="C13" s="10" t="s">
        <v>35</v>
      </c>
      <c r="D13" s="10" t="s">
        <v>45</v>
      </c>
      <c r="E13" s="10" t="s">
        <v>38</v>
      </c>
      <c r="F13" s="10" t="s">
        <v>36</v>
      </c>
      <c r="G13" s="10" t="s">
        <v>39</v>
      </c>
      <c r="H13" s="10" t="s">
        <v>40</v>
      </c>
      <c r="I13" s="10"/>
    </row>
    <row r="14" spans="1:9" ht="15" customHeight="1" x14ac:dyDescent="0.2">
      <c r="A14" s="5">
        <f>IF(B14&lt;&gt;"", ROW()-1, "")</f>
        <v>13</v>
      </c>
      <c r="B14" s="6" t="s">
        <v>34</v>
      </c>
      <c r="C14" s="6" t="s">
        <v>43</v>
      </c>
      <c r="D14" s="6" t="s">
        <v>45</v>
      </c>
      <c r="E14" s="6" t="s">
        <v>44</v>
      </c>
      <c r="F14" s="6" t="s">
        <v>36</v>
      </c>
      <c r="G14" s="6" t="s">
        <v>39</v>
      </c>
      <c r="H14" s="6" t="s">
        <v>46</v>
      </c>
      <c r="I14" s="6"/>
    </row>
    <row r="15" spans="1:9" ht="15" customHeight="1" x14ac:dyDescent="0.2">
      <c r="A15" s="5">
        <f>IF(B15&lt;&gt;"", ROW()-1, "")</f>
        <v>14</v>
      </c>
      <c r="B15" s="6" t="s">
        <v>41</v>
      </c>
      <c r="C15" s="6" t="s">
        <v>43</v>
      </c>
      <c r="D15" s="6" t="s">
        <v>45</v>
      </c>
      <c r="E15" s="6" t="s">
        <v>44</v>
      </c>
      <c r="F15" s="6" t="s">
        <v>36</v>
      </c>
      <c r="G15" s="6" t="s">
        <v>39</v>
      </c>
      <c r="H15" s="6" t="s">
        <v>46</v>
      </c>
      <c r="I15" s="6"/>
    </row>
    <row r="16" spans="1:9" ht="15" customHeight="1" x14ac:dyDescent="0.2">
      <c r="A16" s="5">
        <f>IF(B16&lt;&gt;"", ROW()-1, "")</f>
        <v>15</v>
      </c>
      <c r="B16" s="6" t="s">
        <v>42</v>
      </c>
      <c r="C16" s="6" t="s">
        <v>43</v>
      </c>
      <c r="D16" s="6" t="s">
        <v>45</v>
      </c>
      <c r="E16" s="6" t="s">
        <v>44</v>
      </c>
      <c r="F16" s="6" t="s">
        <v>36</v>
      </c>
      <c r="G16" s="6" t="s">
        <v>39</v>
      </c>
      <c r="H16" s="6" t="s">
        <v>46</v>
      </c>
      <c r="I16" s="6"/>
    </row>
    <row r="17" spans="1:9" ht="15" customHeight="1" x14ac:dyDescent="0.2">
      <c r="A17" s="7">
        <f>IF(B17&lt;&gt;"", ROW()-1, "")</f>
        <v>16</v>
      </c>
      <c r="B17" s="8" t="s">
        <v>50</v>
      </c>
      <c r="C17" s="8" t="s">
        <v>35</v>
      </c>
      <c r="D17" s="8" t="s">
        <v>45</v>
      </c>
      <c r="E17" s="8" t="s">
        <v>37</v>
      </c>
      <c r="F17" s="8" t="s">
        <v>38</v>
      </c>
      <c r="G17" s="8" t="s">
        <v>44</v>
      </c>
      <c r="H17" s="8" t="s">
        <v>36</v>
      </c>
      <c r="I17" s="8"/>
    </row>
    <row r="18" spans="1:9" ht="15" customHeight="1" x14ac:dyDescent="0.2">
      <c r="A18" s="7">
        <f>IF(B18&lt;&gt;"", ROW()-1, "")</f>
        <v>17</v>
      </c>
      <c r="B18" s="8" t="s">
        <v>48</v>
      </c>
      <c r="C18" s="8" t="s">
        <v>35</v>
      </c>
      <c r="D18" s="8" t="s">
        <v>45</v>
      </c>
      <c r="E18" s="8" t="s">
        <v>37</v>
      </c>
      <c r="F18" s="8" t="s">
        <v>38</v>
      </c>
      <c r="G18" s="8" t="s">
        <v>44</v>
      </c>
      <c r="H18" s="8" t="s">
        <v>36</v>
      </c>
      <c r="I18" s="8"/>
    </row>
    <row r="19" spans="1:9" ht="15" customHeight="1" x14ac:dyDescent="0.2">
      <c r="A19" s="7">
        <f>IF(B19&lt;&gt;"", ROW()-1, "")</f>
        <v>18</v>
      </c>
      <c r="B19" s="8" t="s">
        <v>49</v>
      </c>
      <c r="C19" s="8" t="s">
        <v>35</v>
      </c>
      <c r="D19" s="8" t="s">
        <v>45</v>
      </c>
      <c r="E19" s="8" t="s">
        <v>37</v>
      </c>
      <c r="F19" s="8" t="s">
        <v>38</v>
      </c>
      <c r="G19" s="8" t="s">
        <v>44</v>
      </c>
      <c r="H19" s="8" t="s">
        <v>36</v>
      </c>
      <c r="I19" s="8"/>
    </row>
    <row r="20" spans="1:9" ht="15" customHeight="1" x14ac:dyDescent="0.2">
      <c r="A20" s="7">
        <f>IF(B20&lt;&gt;"", ROW()-1, "")</f>
        <v>19</v>
      </c>
      <c r="B20" s="8" t="s">
        <v>41</v>
      </c>
      <c r="C20" s="8" t="s">
        <v>35</v>
      </c>
      <c r="D20" s="8" t="s">
        <v>45</v>
      </c>
      <c r="E20" s="8" t="s">
        <v>37</v>
      </c>
      <c r="F20" s="8" t="s">
        <v>38</v>
      </c>
      <c r="G20" s="8" t="s">
        <v>44</v>
      </c>
      <c r="H20" s="8" t="s">
        <v>36</v>
      </c>
      <c r="I20" s="8"/>
    </row>
    <row r="21" spans="1:9" ht="15" customHeight="1" x14ac:dyDescent="0.2">
      <c r="A21" s="9">
        <f>IF(B21&lt;&gt;"", ROW()-1, "")</f>
        <v>20</v>
      </c>
      <c r="B21" s="10" t="s">
        <v>51</v>
      </c>
      <c r="C21" s="10" t="s">
        <v>43</v>
      </c>
      <c r="D21" s="10" t="s">
        <v>36</v>
      </c>
      <c r="E21" s="10" t="s">
        <v>46</v>
      </c>
      <c r="F21" s="10" t="s">
        <v>45</v>
      </c>
      <c r="G21" s="10" t="s">
        <v>39</v>
      </c>
      <c r="H21" s="10" t="s">
        <v>40</v>
      </c>
      <c r="I21" s="10"/>
    </row>
    <row r="22" spans="1:9" ht="15" customHeight="1" x14ac:dyDescent="0.2">
      <c r="A22" s="9">
        <f>IF(B22&lt;&gt;"", ROW()-1, "")</f>
        <v>21</v>
      </c>
      <c r="B22" s="10" t="s">
        <v>50</v>
      </c>
      <c r="C22" s="10" t="s">
        <v>43</v>
      </c>
      <c r="D22" s="10" t="s">
        <v>36</v>
      </c>
      <c r="E22" s="10" t="s">
        <v>46</v>
      </c>
      <c r="F22" s="10" t="s">
        <v>45</v>
      </c>
      <c r="G22" s="10" t="s">
        <v>39</v>
      </c>
      <c r="H22" s="10" t="s">
        <v>40</v>
      </c>
      <c r="I22" s="10"/>
    </row>
    <row r="23" spans="1:9" ht="15" customHeight="1" x14ac:dyDescent="0.2">
      <c r="A23" s="9">
        <f>IF(B23&lt;&gt;"", ROW()-1, "")</f>
        <v>22</v>
      </c>
      <c r="B23" s="10" t="s">
        <v>48</v>
      </c>
      <c r="C23" s="10" t="s">
        <v>43</v>
      </c>
      <c r="D23" s="10" t="s">
        <v>36</v>
      </c>
      <c r="E23" s="10" t="s">
        <v>46</v>
      </c>
      <c r="F23" s="10" t="s">
        <v>45</v>
      </c>
      <c r="G23" s="10" t="s">
        <v>39</v>
      </c>
      <c r="H23" s="10" t="s">
        <v>40</v>
      </c>
      <c r="I23" s="10"/>
    </row>
    <row r="24" spans="1:9" ht="15" customHeight="1" x14ac:dyDescent="0.2">
      <c r="A24" s="5">
        <f>IF(B24&lt;&gt;"", ROW()-1, "")</f>
        <v>23</v>
      </c>
      <c r="B24" s="6" t="s">
        <v>49</v>
      </c>
      <c r="C24" s="6" t="s">
        <v>35</v>
      </c>
      <c r="D24" s="6" t="s">
        <v>36</v>
      </c>
      <c r="E24" s="6" t="s">
        <v>37</v>
      </c>
      <c r="F24" s="6" t="s">
        <v>40</v>
      </c>
      <c r="G24" s="6" t="s">
        <v>44</v>
      </c>
      <c r="H24" s="6" t="s">
        <v>46</v>
      </c>
      <c r="I24" s="6"/>
    </row>
    <row r="25" spans="1:9" ht="15" customHeight="1" x14ac:dyDescent="0.2">
      <c r="A25" s="5">
        <f>IF(B25&lt;&gt;"", ROW()-1, "")</f>
        <v>24</v>
      </c>
      <c r="B25" s="6" t="s">
        <v>34</v>
      </c>
      <c r="C25" s="6" t="s">
        <v>35</v>
      </c>
      <c r="D25" s="6" t="s">
        <v>36</v>
      </c>
      <c r="E25" s="6" t="s">
        <v>37</v>
      </c>
      <c r="F25" s="6" t="s">
        <v>40</v>
      </c>
      <c r="G25" s="6" t="s">
        <v>44</v>
      </c>
      <c r="H25" s="6" t="s">
        <v>46</v>
      </c>
      <c r="I25" s="6"/>
    </row>
    <row r="26" spans="1:9" ht="15" customHeight="1" x14ac:dyDescent="0.2">
      <c r="A26" s="5">
        <f>IF(B26&lt;&gt;"", ROW()-1, "")</f>
        <v>25</v>
      </c>
      <c r="B26" s="6" t="s">
        <v>50</v>
      </c>
      <c r="C26" s="6" t="s">
        <v>35</v>
      </c>
      <c r="D26" s="6" t="s">
        <v>36</v>
      </c>
      <c r="E26" s="6" t="s">
        <v>37</v>
      </c>
      <c r="F26" s="6" t="s">
        <v>40</v>
      </c>
      <c r="G26" s="6" t="s">
        <v>44</v>
      </c>
      <c r="H26" s="6" t="s">
        <v>46</v>
      </c>
      <c r="I26" s="6"/>
    </row>
    <row r="27" spans="1:9" ht="15" customHeight="1" x14ac:dyDescent="0.2">
      <c r="A27" s="5">
        <f>IF(B27&lt;&gt;"", ROW()-1, "")</f>
        <v>26</v>
      </c>
      <c r="B27" s="6" t="s">
        <v>47</v>
      </c>
      <c r="C27" s="6" t="s">
        <v>35</v>
      </c>
      <c r="D27" s="6" t="s">
        <v>36</v>
      </c>
      <c r="E27" s="6" t="s">
        <v>37</v>
      </c>
      <c r="F27" s="6" t="s">
        <v>40</v>
      </c>
      <c r="G27" s="6" t="s">
        <v>44</v>
      </c>
      <c r="H27" s="6" t="s">
        <v>46</v>
      </c>
      <c r="I27" s="6"/>
    </row>
    <row r="28" spans="1:9" ht="15" customHeight="1" x14ac:dyDescent="0.2">
      <c r="A28" s="7">
        <f>IF(B28&lt;&gt;"", ROW()-1, "")</f>
        <v>27</v>
      </c>
      <c r="B28" s="8" t="s">
        <v>41</v>
      </c>
      <c r="C28" s="8" t="s">
        <v>43</v>
      </c>
      <c r="D28" s="8" t="s">
        <v>45</v>
      </c>
      <c r="E28" s="8" t="s">
        <v>46</v>
      </c>
      <c r="F28" s="8" t="s">
        <v>38</v>
      </c>
      <c r="G28" s="8" t="s">
        <v>39</v>
      </c>
      <c r="H28" s="8" t="s">
        <v>36</v>
      </c>
      <c r="I28" s="8"/>
    </row>
    <row r="29" spans="1:9" ht="15" customHeight="1" x14ac:dyDescent="0.2">
      <c r="A29" s="7">
        <f>IF(B29&lt;&gt;"", ROW()-1, "")</f>
        <v>28</v>
      </c>
      <c r="B29" s="8" t="s">
        <v>50</v>
      </c>
      <c r="C29" s="8" t="s">
        <v>43</v>
      </c>
      <c r="D29" s="8" t="s">
        <v>45</v>
      </c>
      <c r="E29" s="8" t="s">
        <v>46</v>
      </c>
      <c r="F29" s="8" t="s">
        <v>38</v>
      </c>
      <c r="G29" s="8" t="s">
        <v>39</v>
      </c>
      <c r="H29" s="8" t="s">
        <v>36</v>
      </c>
      <c r="I29" s="8"/>
    </row>
    <row r="30" spans="1:9" ht="15" customHeight="1" x14ac:dyDescent="0.2">
      <c r="A30" s="7">
        <f>IF(B30&lt;&gt;"", ROW()-1, "")</f>
        <v>29</v>
      </c>
      <c r="B30" s="8" t="s">
        <v>51</v>
      </c>
      <c r="C30" s="8" t="s">
        <v>43</v>
      </c>
      <c r="D30" s="8" t="s">
        <v>45</v>
      </c>
      <c r="E30" s="8" t="s">
        <v>46</v>
      </c>
      <c r="F30" s="8" t="s">
        <v>38</v>
      </c>
      <c r="G30" s="8" t="s">
        <v>39</v>
      </c>
      <c r="H30" s="8" t="s">
        <v>36</v>
      </c>
      <c r="I30" s="8"/>
    </row>
    <row r="31" spans="1:9" ht="15" customHeight="1" x14ac:dyDescent="0.2">
      <c r="A31" s="7">
        <f>IF(B31&lt;&gt;"", ROW()-1, "")</f>
        <v>30</v>
      </c>
      <c r="B31" s="8" t="s">
        <v>49</v>
      </c>
      <c r="C31" s="8" t="s">
        <v>43</v>
      </c>
      <c r="D31" s="8" t="s">
        <v>45</v>
      </c>
      <c r="E31" s="8" t="s">
        <v>46</v>
      </c>
      <c r="F31" s="8" t="s">
        <v>38</v>
      </c>
      <c r="G31" s="8" t="s">
        <v>39</v>
      </c>
      <c r="H31" s="8" t="s">
        <v>36</v>
      </c>
      <c r="I31" s="8"/>
    </row>
    <row r="32" spans="1:9" ht="15" customHeight="1" x14ac:dyDescent="0.2">
      <c r="A32" s="11" t="str">
        <f>IF(B32&lt;&gt;"", ROW()-1, "")</f>
        <v/>
      </c>
    </row>
    <row r="33" spans="1:1" ht="15" customHeight="1" x14ac:dyDescent="0.2">
      <c r="A33" s="11" t="str">
        <f>IF(B33&lt;&gt;"", ROW()-1, "")</f>
        <v/>
      </c>
    </row>
    <row r="34" spans="1:1" ht="15" customHeight="1" x14ac:dyDescent="0.2">
      <c r="A34" s="11" t="str">
        <f>IF(B34&lt;&gt;"", ROW()-1, "")</f>
        <v/>
      </c>
    </row>
    <row r="35" spans="1:1" ht="15" customHeight="1" x14ac:dyDescent="0.2">
      <c r="A35" s="11" t="str">
        <f>IF(B35&lt;&gt;"", ROW()-1, "")</f>
        <v/>
      </c>
    </row>
    <row r="36" spans="1:1" ht="15" customHeight="1" x14ac:dyDescent="0.2">
      <c r="A36" s="11" t="str">
        <f>IF(B36&lt;&gt;"", ROW()-1, "")</f>
        <v/>
      </c>
    </row>
    <row r="37" spans="1:1" ht="15" customHeight="1" x14ac:dyDescent="0.2">
      <c r="A37" s="11" t="str">
        <f>IF(B37&lt;&gt;"", ROW()-1, "")</f>
        <v/>
      </c>
    </row>
    <row r="38" spans="1:1" ht="15" customHeight="1" x14ac:dyDescent="0.2">
      <c r="A38" s="11" t="str">
        <f>IF(B38&lt;&gt;"", ROW()-1, "")</f>
        <v/>
      </c>
    </row>
    <row r="39" spans="1:1" ht="15" customHeight="1" x14ac:dyDescent="0.2">
      <c r="A39" s="11" t="str">
        <f>IF(B39&lt;&gt;"", ROW()-1, "")</f>
        <v/>
      </c>
    </row>
    <row r="40" spans="1:1" ht="15" customHeight="1" x14ac:dyDescent="0.2">
      <c r="A40" s="11" t="str">
        <f>IF(B40&lt;&gt;"", ROW()-1, "")</f>
        <v/>
      </c>
    </row>
    <row r="41" spans="1:1" ht="15" customHeight="1" x14ac:dyDescent="0.2">
      <c r="A41" s="11" t="str">
        <f>IF(B41&lt;&gt;"", ROW()-1, "")</f>
        <v/>
      </c>
    </row>
    <row r="42" spans="1:1" ht="15" customHeight="1" x14ac:dyDescent="0.2">
      <c r="A42" s="11" t="str">
        <f>IF(B42&lt;&gt;"", ROW()-1, "")</f>
        <v/>
      </c>
    </row>
    <row r="43" spans="1:1" ht="15" customHeight="1" x14ac:dyDescent="0.2">
      <c r="A43" s="11" t="str">
        <f>IF(B43&lt;&gt;"", ROW()-1, "")</f>
        <v/>
      </c>
    </row>
    <row r="44" spans="1:1" ht="15" customHeight="1" x14ac:dyDescent="0.2">
      <c r="A44" s="11" t="str">
        <f>IF(B44&lt;&gt;"", ROW()-1, "")</f>
        <v/>
      </c>
    </row>
    <row r="45" spans="1:1" ht="15" customHeight="1" x14ac:dyDescent="0.2">
      <c r="A45" s="11" t="str">
        <f>IF(B45&lt;&gt;"", ROW()-1, "")</f>
        <v/>
      </c>
    </row>
    <row r="46" spans="1:1" ht="15" customHeight="1" x14ac:dyDescent="0.2">
      <c r="A46" s="11" t="str">
        <f>IF(B46&lt;&gt;"", ROW()-1, "")</f>
        <v/>
      </c>
    </row>
    <row r="47" spans="1:1" ht="15" customHeight="1" x14ac:dyDescent="0.2">
      <c r="A47" s="11" t="str">
        <f>IF(B47&lt;&gt;"", ROW()-1, "")</f>
        <v/>
      </c>
    </row>
    <row r="48" spans="1:1" ht="15" customHeight="1" x14ac:dyDescent="0.2">
      <c r="A48" s="11" t="str">
        <f>IF(B48&lt;&gt;"", ROW()-1, "")</f>
        <v/>
      </c>
    </row>
    <row r="49" spans="1:1" ht="15" customHeight="1" x14ac:dyDescent="0.2">
      <c r="A49" s="11" t="str">
        <f>IF(B49&lt;&gt;"", ROW()-1, "")</f>
        <v/>
      </c>
    </row>
    <row r="50" spans="1:1" ht="15" customHeight="1" x14ac:dyDescent="0.2">
      <c r="A50" s="11" t="str">
        <f>IF(B50&lt;&gt;"", ROW()-1, "")</f>
        <v/>
      </c>
    </row>
    <row r="51" spans="1:1" ht="15" customHeight="1" x14ac:dyDescent="0.2">
      <c r="A51" s="11" t="str">
        <f>IF(B51&lt;&gt;"", ROW()-1, "")</f>
        <v/>
      </c>
    </row>
  </sheetData>
  <dataValidations count="6">
    <dataValidation type="list" allowBlank="1" showErrorMessage="1" errorTitle="Invalid Player" error="Select a player eligible for C position" promptTitle="C Position" prompt="Choose from: Phipps,Rodriguez" sqref="C2:C51" xr:uid="{00000000-0002-0000-0100-000000000000}">
      <formula1>"Phipps,Rodriguez"</formula1>
      <formula2>0</formula2>
    </dataValidation>
    <dataValidation type="list" allowBlank="1" showErrorMessage="1" errorTitle="Invalid Player" error="Select a player eligible for Q position" promptTitle="Q Position" prompt="Choose from: Martinez,Simmons" sqref="D2:D51" xr:uid="{00000000-0002-0000-0100-000001000000}">
      <formula1>"Martinez,Simmons"</formula1>
      <formula2>0</formula2>
    </dataValidation>
    <dataValidation type="list" allowBlank="1" showErrorMessage="1" errorTitle="Invalid Player" error="Select a player eligible for W position" promptTitle="W Position" prompt="Choose from: Martinez,Simmons,Spivey,Stevens" sqref="E2:E51" xr:uid="{00000000-0002-0000-0100-000002000000}">
      <formula1>"Martinez,Simmons,Spivey,Stevens"</formula1>
      <formula2>0</formula2>
    </dataValidation>
    <dataValidation type="list" allowBlank="1" showErrorMessage="1" errorTitle="Invalid Player" error="Select a player eligible for X position" promptTitle="X Position" prompt="Choose from: Dawson,Hobbins,March,Martinez,Simmons,Woodward" sqref="F2:F51" xr:uid="{00000000-0002-0000-0100-000003000000}">
      <formula1>"Dawson,Hobbins,March,Martinez,Simmons,Woodward"</formula1>
      <formula2>0</formula2>
    </dataValidation>
    <dataValidation type="list" allowBlank="1" showErrorMessage="1" errorTitle="Invalid Player" error="Select a player eligible for Y position" promptTitle="Y Position" prompt="Choose from: Dawson,Spivey,Stevens,Woodward" sqref="G2:G51" xr:uid="{00000000-0002-0000-0100-000004000000}">
      <formula1>"Dawson,Spivey,Stevens,Woodward"</formula1>
      <formula2>0</formula2>
    </dataValidation>
    <dataValidation type="list" allowBlank="1" showErrorMessage="1" errorTitle="Invalid Player" error="Select a player eligible for Z position" promptTitle="Z Position" prompt="Choose from: Hobbins,March,Martinez,Phipps,Simmons" sqref="H2:H51" xr:uid="{00000000-0002-0000-0100-000005000000}">
      <formula1>"Hobbins,March,Martinez,Phipps,Simmons"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Normal="100" workbookViewId="0"/>
  </sheetViews>
  <sheetFormatPr defaultColWidth="8.875" defaultRowHeight="15" customHeight="1" x14ac:dyDescent="0.2"/>
  <cols>
    <col min="1" max="1" width="20.04296875" style="80" customWidth="1"/>
    <col min="2" max="2" width="9.953125" style="80" customWidth="1"/>
    <col min="3" max="3" width="20.04296875" style="80" customWidth="1"/>
    <col min="4" max="4" width="11.97265625" style="80" customWidth="1"/>
    <col min="5" max="10" width="11.02734375" style="80" customWidth="1"/>
  </cols>
  <sheetData>
    <row r="1" spans="1:10" ht="15.75" customHeight="1" x14ac:dyDescent="0.2">
      <c r="A1" s="4" t="s">
        <v>0</v>
      </c>
      <c r="B1" s="4" t="s">
        <v>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</row>
    <row r="2" spans="1:10" ht="15.75" customHeight="1" x14ac:dyDescent="0.2">
      <c r="A2" t="s">
        <v>3</v>
      </c>
      <c r="B2" s="12">
        <v>73</v>
      </c>
      <c r="C2" s="12" t="s">
        <v>60</v>
      </c>
      <c r="D2" s="13">
        <f>COUNTIF('Play Calls'!C:C,"*Dawson*")+COUNTIF('Play Calls'!D:D,"*Dawson*")+COUNTIF('Play Calls'!E:E,"*Dawson*")+COUNTIF('Play Calls'!F:F,"*Dawson*")+COUNTIF('Play Calls'!G:G,"*Dawson*")+COUNTIF('Play Calls'!H:H,"*Dawson*")</f>
        <v>15</v>
      </c>
      <c r="E2" s="12">
        <f>COUNTIF('Play Calls'!C:C,"*Dawson*")</f>
        <v>0</v>
      </c>
      <c r="F2" s="12">
        <f>COUNTIF('Play Calls'!D:D,"*Dawson*")</f>
        <v>0</v>
      </c>
      <c r="G2" s="12">
        <f>COUNTIF('Play Calls'!E:E,"*Dawson*")</f>
        <v>3</v>
      </c>
      <c r="H2" s="12">
        <f>COUNTIF('Play Calls'!F:F,"*Dawson*")</f>
        <v>4</v>
      </c>
      <c r="I2" s="12">
        <f>COUNTIF('Play Calls'!G:G,"*Dawson*")</f>
        <v>8</v>
      </c>
      <c r="J2" s="12">
        <f>COUNTIF('Play Calls'!H:H,"*Dawson*")</f>
        <v>0</v>
      </c>
    </row>
    <row r="3" spans="1:10" ht="15.75" customHeight="1" x14ac:dyDescent="0.2">
      <c r="A3" t="s">
        <v>5</v>
      </c>
      <c r="B3" s="12">
        <v>0</v>
      </c>
      <c r="C3" s="12" t="s">
        <v>61</v>
      </c>
      <c r="D3" s="13">
        <f>COUNTIF('Play Calls'!C:C,"*Hobbins*")+COUNTIF('Play Calls'!D:D,"*Hobbins*")+COUNTIF('Play Calls'!E:E,"*Hobbins*")+COUNTIF('Play Calls'!F:F,"*Hobbins*")+COUNTIF('Play Calls'!G:G,"*Hobbins*")+COUNTIF('Play Calls'!H:H,"*Hobbins*")</f>
        <v>18</v>
      </c>
      <c r="E3" s="12">
        <f>COUNTIF('Play Calls'!C:C,"*Hobbins*")</f>
        <v>0</v>
      </c>
      <c r="F3" s="12">
        <f>COUNTIF('Play Calls'!D:D,"*Hobbins*")</f>
        <v>0</v>
      </c>
      <c r="G3" s="12">
        <f>COUNTIF('Play Calls'!E:E,"*Hobbins*")</f>
        <v>7</v>
      </c>
      <c r="H3" s="12">
        <f>COUNTIF('Play Calls'!F:F,"*Hobbins*")</f>
        <v>0</v>
      </c>
      <c r="I3" s="12">
        <f>COUNTIF('Play Calls'!G:G,"*Hobbins*")</f>
        <v>0</v>
      </c>
      <c r="J3" s="12">
        <f>COUNTIF('Play Calls'!H:H,"*Hobbins*")</f>
        <v>11</v>
      </c>
    </row>
    <row r="4" spans="1:10" ht="15.75" customHeight="1" x14ac:dyDescent="0.2">
      <c r="A4" t="s">
        <v>7</v>
      </c>
      <c r="B4" s="12">
        <v>6</v>
      </c>
      <c r="C4" s="12" t="s">
        <v>61</v>
      </c>
      <c r="D4" s="13">
        <f>COUNTIF('Play Calls'!C:C,"*March*")+COUNTIF('Play Calls'!D:D,"*March*")+COUNTIF('Play Calls'!E:E,"*March*")+COUNTIF('Play Calls'!F:F,"*March*")+COUNTIF('Play Calls'!G:G,"*March*")+COUNTIF('Play Calls'!H:H,"*March*")</f>
        <v>16</v>
      </c>
      <c r="E4" s="12">
        <f>COUNTIF('Play Calls'!C:C,"*March*")</f>
        <v>0</v>
      </c>
      <c r="F4" s="12">
        <f>COUNTIF('Play Calls'!D:D,"*March*")</f>
        <v>0</v>
      </c>
      <c r="G4" s="12">
        <f>COUNTIF('Play Calls'!E:E,"*March*")</f>
        <v>4</v>
      </c>
      <c r="H4" s="12">
        <f>COUNTIF('Play Calls'!F:F,"*March*")</f>
        <v>12</v>
      </c>
      <c r="I4" s="12">
        <f>COUNTIF('Play Calls'!G:G,"*March*")</f>
        <v>0</v>
      </c>
      <c r="J4" s="12">
        <f>COUNTIF('Play Calls'!H:H,"*March*")</f>
        <v>0</v>
      </c>
    </row>
    <row r="5" spans="1:10" ht="15.75" customHeight="1" x14ac:dyDescent="0.2">
      <c r="A5" t="s">
        <v>8</v>
      </c>
      <c r="B5" s="12">
        <v>23</v>
      </c>
      <c r="C5" s="12" t="s">
        <v>62</v>
      </c>
      <c r="D5" s="13">
        <f>COUNTIF('Play Calls'!C:C,"*Martinez*")+COUNTIF('Play Calls'!D:D,"*Martinez*")+COUNTIF('Play Calls'!E:E,"*Martinez*")+COUNTIF('Play Calls'!F:F,"*Martinez*")+COUNTIF('Play Calls'!G:G,"*Martinez*")+COUNTIF('Play Calls'!H:H,"*Martinez*")</f>
        <v>22</v>
      </c>
      <c r="E5" s="12">
        <f>COUNTIF('Play Calls'!C:C,"*Martinez*")</f>
        <v>0</v>
      </c>
      <c r="F5" s="12">
        <f>COUNTIF('Play Calls'!D:D,"*Martinez*")</f>
        <v>15</v>
      </c>
      <c r="G5" s="12">
        <f>COUNTIF('Play Calls'!E:E,"*Martinez*")</f>
        <v>0</v>
      </c>
      <c r="H5" s="12">
        <f>COUNTIF('Play Calls'!F:F,"*Martinez*")</f>
        <v>3</v>
      </c>
      <c r="I5" s="12">
        <f>COUNTIF('Play Calls'!G:G,"*Martinez*")</f>
        <v>4</v>
      </c>
      <c r="J5" s="12">
        <f>COUNTIF('Play Calls'!H:H,"*Martinez*")</f>
        <v>0</v>
      </c>
    </row>
    <row r="6" spans="1:10" ht="15.75" customHeight="1" x14ac:dyDescent="0.2">
      <c r="A6" t="s">
        <v>10</v>
      </c>
      <c r="B6" s="12">
        <v>16</v>
      </c>
      <c r="C6" s="12" t="s">
        <v>61</v>
      </c>
      <c r="D6" s="13">
        <f>COUNTIF('Play Calls'!C:C,"*Phipps*")+COUNTIF('Play Calls'!D:D,"*Phipps*")+COUNTIF('Play Calls'!E:E,"*Phipps*")+COUNTIF('Play Calls'!F:F,"*Phipps*")+COUNTIF('Play Calls'!G:G,"*Phipps*")+COUNTIF('Play Calls'!H:H,"*Phipps*")</f>
        <v>16</v>
      </c>
      <c r="E6" s="12">
        <f>COUNTIF('Play Calls'!C:C,"*Phipps*")</f>
        <v>16</v>
      </c>
      <c r="F6" s="12">
        <f>COUNTIF('Play Calls'!D:D,"*Phipps*")</f>
        <v>0</v>
      </c>
      <c r="G6" s="12">
        <f>COUNTIF('Play Calls'!E:E,"*Phipps*")</f>
        <v>0</v>
      </c>
      <c r="H6" s="12">
        <f>COUNTIF('Play Calls'!F:F,"*Phipps*")</f>
        <v>0</v>
      </c>
      <c r="I6" s="12">
        <f>COUNTIF('Play Calls'!G:G,"*Phipps*")</f>
        <v>0</v>
      </c>
      <c r="J6" s="12">
        <f>COUNTIF('Play Calls'!H:H,"*Phipps*")</f>
        <v>0</v>
      </c>
    </row>
    <row r="7" spans="1:10" ht="15.75" customHeight="1" x14ac:dyDescent="0.2">
      <c r="A7" t="s">
        <v>12</v>
      </c>
      <c r="B7" s="12">
        <v>2</v>
      </c>
      <c r="C7" s="12" t="s">
        <v>13</v>
      </c>
      <c r="D7" s="13">
        <f>COUNTIF('Play Calls'!C:C,"*Rodriguez*")+COUNTIF('Play Calls'!D:D,"*Rodriguez*")+COUNTIF('Play Calls'!E:E,"*Rodriguez*")+COUNTIF('Play Calls'!F:F,"*Rodriguez*")+COUNTIF('Play Calls'!G:G,"*Rodriguez*")+COUNTIF('Play Calls'!H:H,"*Rodriguez*")</f>
        <v>14</v>
      </c>
      <c r="E7" s="12">
        <f>COUNTIF('Play Calls'!C:C,"*Rodriguez*")</f>
        <v>14</v>
      </c>
      <c r="F7" s="12">
        <f>COUNTIF('Play Calls'!D:D,"*Rodriguez*")</f>
        <v>0</v>
      </c>
      <c r="G7" s="12">
        <f>COUNTIF('Play Calls'!E:E,"*Rodriguez*")</f>
        <v>0</v>
      </c>
      <c r="H7" s="12">
        <f>COUNTIF('Play Calls'!F:F,"*Rodriguez*")</f>
        <v>0</v>
      </c>
      <c r="I7" s="12">
        <f>COUNTIF('Play Calls'!G:G,"*Rodriguez*")</f>
        <v>0</v>
      </c>
      <c r="J7" s="12">
        <f>COUNTIF('Play Calls'!H:H,"*Rodriguez*")</f>
        <v>0</v>
      </c>
    </row>
    <row r="8" spans="1:10" ht="15.75" customHeight="1" x14ac:dyDescent="0.2">
      <c r="A8" t="s">
        <v>14</v>
      </c>
      <c r="B8" s="12">
        <v>12</v>
      </c>
      <c r="C8" s="12" t="s">
        <v>62</v>
      </c>
      <c r="D8" s="13">
        <f>COUNTIF('Play Calls'!C:C,"*Simmons*")+COUNTIF('Play Calls'!D:D,"*Simmons*")+COUNTIF('Play Calls'!E:E,"*Simmons*")+COUNTIF('Play Calls'!F:F,"*Simmons*")+COUNTIF('Play Calls'!G:G,"*Simmons*")+COUNTIF('Play Calls'!H:H,"*Simmons*")</f>
        <v>30</v>
      </c>
      <c r="E8" s="12">
        <f>COUNTIF('Play Calls'!C:C,"*Simmons*")</f>
        <v>0</v>
      </c>
      <c r="F8" s="12">
        <f>COUNTIF('Play Calls'!D:D,"*Simmons*")</f>
        <v>15</v>
      </c>
      <c r="G8" s="12">
        <f>COUNTIF('Play Calls'!E:E,"*Simmons*")</f>
        <v>0</v>
      </c>
      <c r="H8" s="12">
        <f>COUNTIF('Play Calls'!F:F,"*Simmons*")</f>
        <v>7</v>
      </c>
      <c r="I8" s="12">
        <f>COUNTIF('Play Calls'!G:G,"*Simmons*")</f>
        <v>0</v>
      </c>
      <c r="J8" s="12">
        <f>COUNTIF('Play Calls'!H:H,"*Simmons*")</f>
        <v>8</v>
      </c>
    </row>
    <row r="9" spans="1:10" ht="15.75" customHeight="1" x14ac:dyDescent="0.2">
      <c r="A9" t="s">
        <v>15</v>
      </c>
      <c r="B9" s="12">
        <v>10</v>
      </c>
      <c r="C9" s="12" t="s">
        <v>63</v>
      </c>
      <c r="D9" s="13">
        <f>COUNTIF('Play Calls'!C:C,"*Spivey*")+COUNTIF('Play Calls'!D:D,"*Spivey*")+COUNTIF('Play Calls'!E:E,"*Spivey*")+COUNTIF('Play Calls'!F:F,"*Spivey*")+COUNTIF('Play Calls'!G:G,"*Spivey*")+COUNTIF('Play Calls'!H:H,"*Spivey*")</f>
        <v>15</v>
      </c>
      <c r="E9" s="12">
        <f>COUNTIF('Play Calls'!C:C,"*Spivey*")</f>
        <v>0</v>
      </c>
      <c r="F9" s="12">
        <f>COUNTIF('Play Calls'!D:D,"*Spivey*")</f>
        <v>0</v>
      </c>
      <c r="G9" s="12">
        <f>COUNTIF('Play Calls'!E:E,"*Spivey*")</f>
        <v>0</v>
      </c>
      <c r="H9" s="12">
        <f>COUNTIF('Play Calls'!F:F,"*Spivey*")</f>
        <v>4</v>
      </c>
      <c r="I9" s="12">
        <f>COUNTIF('Play Calls'!G:G,"*Spivey*")</f>
        <v>0</v>
      </c>
      <c r="J9" s="12">
        <f>COUNTIF('Play Calls'!H:H,"*Spivey*")</f>
        <v>11</v>
      </c>
    </row>
    <row r="10" spans="1:10" ht="15.75" customHeight="1" x14ac:dyDescent="0.2">
      <c r="A10" t="s">
        <v>17</v>
      </c>
      <c r="B10" s="12">
        <v>8</v>
      </c>
      <c r="C10" s="12" t="s">
        <v>63</v>
      </c>
      <c r="D10" s="13">
        <f>COUNTIF('Play Calls'!C:C,"*Stevens*")+COUNTIF('Play Calls'!D:D,"*Stevens*")+COUNTIF('Play Calls'!E:E,"*Stevens*")+COUNTIF('Play Calls'!F:F,"*Stevens*")+COUNTIF('Play Calls'!G:G,"*Stevens*")+COUNTIF('Play Calls'!H:H,"*Stevens*")</f>
        <v>18</v>
      </c>
      <c r="E10" s="12">
        <f>COUNTIF('Play Calls'!C:C,"*Stevens*")</f>
        <v>0</v>
      </c>
      <c r="F10" s="12">
        <f>COUNTIF('Play Calls'!D:D,"*Stevens*")</f>
        <v>0</v>
      </c>
      <c r="G10" s="12">
        <f>COUNTIF('Play Calls'!E:E,"*Stevens*")</f>
        <v>0</v>
      </c>
      <c r="H10" s="12">
        <f>COUNTIF('Play Calls'!F:F,"*Stevens*")</f>
        <v>0</v>
      </c>
      <c r="I10" s="12">
        <f>COUNTIF('Play Calls'!G:G,"*Stevens*")</f>
        <v>18</v>
      </c>
      <c r="J10" s="12">
        <f>COUNTIF('Play Calls'!H:H,"*Stevens*")</f>
        <v>0</v>
      </c>
    </row>
    <row r="11" spans="1:10" ht="15.75" customHeight="1" x14ac:dyDescent="0.2">
      <c r="A11" t="s">
        <v>18</v>
      </c>
      <c r="B11" s="12">
        <v>20</v>
      </c>
      <c r="C11" s="12" t="s">
        <v>60</v>
      </c>
      <c r="D11" s="13">
        <f>COUNTIF('Play Calls'!C:C,"*Woodward*")+COUNTIF('Play Calls'!D:D,"*Woodward*")+COUNTIF('Play Calls'!E:E,"*Woodward*")+COUNTIF('Play Calls'!F:F,"*Woodward*")+COUNTIF('Play Calls'!G:G,"*Woodward*")+COUNTIF('Play Calls'!H:H,"*Woodward*")</f>
        <v>16</v>
      </c>
      <c r="E11" s="12">
        <f>COUNTIF('Play Calls'!C:C,"*Woodward*")</f>
        <v>0</v>
      </c>
      <c r="F11" s="12">
        <f>COUNTIF('Play Calls'!D:D,"*Woodward*")</f>
        <v>0</v>
      </c>
      <c r="G11" s="12">
        <f>COUNTIF('Play Calls'!E:E,"*Woodward*")</f>
        <v>16</v>
      </c>
      <c r="H11" s="12">
        <f>COUNTIF('Play Calls'!F:F,"*Woodward*")</f>
        <v>0</v>
      </c>
      <c r="I11" s="12">
        <f>COUNTIF('Play Calls'!G:G,"*Woodward*")</f>
        <v>0</v>
      </c>
      <c r="J11" s="12">
        <f>COUNTIF('Play Calls'!H:H,"*Woodward*")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zoomScaleNormal="100" workbookViewId="0"/>
  </sheetViews>
  <sheetFormatPr defaultColWidth="8.875" defaultRowHeight="15" customHeight="1" x14ac:dyDescent="0.2"/>
  <cols>
    <col min="1" max="1" width="25.01953125" style="80" customWidth="1"/>
    <col min="2" max="2" width="11.97265625" style="80" customWidth="1"/>
  </cols>
  <sheetData>
    <row r="1" spans="1:4" ht="21" customHeight="1" x14ac:dyDescent="0.3">
      <c r="A1" s="87" t="s">
        <v>64</v>
      </c>
      <c r="B1" s="88"/>
      <c r="C1" s="88"/>
      <c r="D1" s="88"/>
    </row>
    <row r="3" spans="1:4" ht="18.75" customHeight="1" x14ac:dyDescent="0.25">
      <c r="A3" s="14" t="s">
        <v>65</v>
      </c>
      <c r="B3" s="15">
        <f>COUNTA('Play Calls'!B:B)-1</f>
        <v>30</v>
      </c>
    </row>
    <row r="4" spans="1:4" ht="15.75" customHeight="1" x14ac:dyDescent="0.2">
      <c r="A4" s="14" t="s">
        <v>66</v>
      </c>
      <c r="B4" s="16" t="str">
        <f>IFERROR(INDEX(Stats!A:A,MATCH(MAX(Stats!D:D),Stats!D:D,0)),"")</f>
        <v>Wesley Simmons</v>
      </c>
    </row>
    <row r="5" spans="1:4" ht="15.75" customHeight="1" x14ac:dyDescent="0.2">
      <c r="A5" s="14" t="s">
        <v>67</v>
      </c>
      <c r="B5" s="16" t="str">
        <f>IFERROR(INDEX('Play Calls'!B:B,MODE(MATCH('Play Calls'!B2:B51,'Play Calls'!B2:B51,0))+1),"")</f>
        <v/>
      </c>
    </row>
    <row r="7" spans="1:4" ht="15.75" customHeight="1" x14ac:dyDescent="0.2">
      <c r="A7" s="17" t="s">
        <v>68</v>
      </c>
    </row>
    <row r="8" spans="1:4" ht="15" customHeight="1" x14ac:dyDescent="0.2">
      <c r="A8" t="s">
        <v>34</v>
      </c>
      <c r="B8" s="12">
        <f>COUNTIF('Play Calls'!B:B,"Tick")</f>
        <v>6</v>
      </c>
    </row>
    <row r="9" spans="1:4" ht="15" customHeight="1" x14ac:dyDescent="0.2">
      <c r="A9" t="s">
        <v>41</v>
      </c>
      <c r="B9" s="12">
        <f>COUNTIF('Play Calls'!B:B,"Tick Tock")</f>
        <v>5</v>
      </c>
    </row>
    <row r="10" spans="1:4" ht="15" customHeight="1" x14ac:dyDescent="0.2">
      <c r="A10" t="s">
        <v>51</v>
      </c>
      <c r="B10" s="12">
        <f>COUNTIF('Play Calls'!B:B,"Circle Pass Option")</f>
        <v>2</v>
      </c>
    </row>
    <row r="11" spans="1:4" ht="15" customHeight="1" x14ac:dyDescent="0.2">
      <c r="A11" t="s">
        <v>42</v>
      </c>
      <c r="B11" s="12">
        <f>COUNTIF('Play Calls'!B:B,"Circle Run Option")</f>
        <v>3</v>
      </c>
    </row>
    <row r="12" spans="1:4" ht="15" customHeight="1" x14ac:dyDescent="0.2">
      <c r="A12" t="s">
        <v>48</v>
      </c>
      <c r="B12" s="12">
        <f>COUNTIF('Play Calls'!B:B,"Eagle")</f>
        <v>3</v>
      </c>
    </row>
    <row r="13" spans="1:4" ht="15" customHeight="1" x14ac:dyDescent="0.2">
      <c r="A13" t="s">
        <v>47</v>
      </c>
      <c r="B13" s="12">
        <f>COUNTIF('Play Calls'!B:B,"Airplane Pass Option")</f>
        <v>2</v>
      </c>
    </row>
    <row r="14" spans="1:4" ht="15" customHeight="1" x14ac:dyDescent="0.2">
      <c r="A14" t="s">
        <v>49</v>
      </c>
      <c r="B14" s="12">
        <f>COUNTIF('Play Calls'!B:B,"Sweep")</f>
        <v>4</v>
      </c>
    </row>
    <row r="15" spans="1:4" ht="15" customHeight="1" x14ac:dyDescent="0.2">
      <c r="A15" t="s">
        <v>50</v>
      </c>
      <c r="B15" s="12">
        <f>COUNTIF('Play Calls'!B:B,"Cross")</f>
        <v>5</v>
      </c>
    </row>
  </sheetData>
  <mergeCells count="1">
    <mergeCell ref="A1:D1"/>
  </mergeCells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zoomScaleNormal="100" workbookViewId="0"/>
  </sheetViews>
  <sheetFormatPr defaultColWidth="8.609375" defaultRowHeight="15" customHeight="1" x14ac:dyDescent="0.2"/>
  <sheetData>
    <row r="1" spans="1:9" ht="15" customHeight="1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s="83" t="s">
        <v>25</v>
      </c>
      <c r="H1" s="83" t="s">
        <v>75</v>
      </c>
      <c r="I1" s="83" t="s">
        <v>76</v>
      </c>
    </row>
    <row r="2" spans="1:9" ht="15" customHeight="1" x14ac:dyDescent="0.2">
      <c r="A2" t="s">
        <v>35</v>
      </c>
      <c r="B2" t="s">
        <v>45</v>
      </c>
      <c r="C2" t="s">
        <v>45</v>
      </c>
      <c r="D2" t="s">
        <v>44</v>
      </c>
      <c r="E2" t="s">
        <v>44</v>
      </c>
      <c r="F2" t="s">
        <v>46</v>
      </c>
      <c r="G2">
        <v>1</v>
      </c>
      <c r="H2" t="s">
        <v>34</v>
      </c>
      <c r="I2">
        <v>9</v>
      </c>
    </row>
    <row r="3" spans="1:9" ht="15" customHeight="1" x14ac:dyDescent="0.2">
      <c r="A3" t="s">
        <v>43</v>
      </c>
      <c r="B3" t="s">
        <v>36</v>
      </c>
      <c r="C3" t="s">
        <v>36</v>
      </c>
      <c r="D3" t="s">
        <v>46</v>
      </c>
      <c r="E3" t="s">
        <v>40</v>
      </c>
      <c r="F3" t="s">
        <v>38</v>
      </c>
      <c r="G3">
        <v>2</v>
      </c>
      <c r="H3" t="s">
        <v>41</v>
      </c>
      <c r="I3">
        <v>51</v>
      </c>
    </row>
    <row r="4" spans="1:9" ht="15" customHeight="1" x14ac:dyDescent="0.2">
      <c r="C4" t="s">
        <v>40</v>
      </c>
      <c r="D4" t="s">
        <v>38</v>
      </c>
      <c r="E4" t="s">
        <v>39</v>
      </c>
      <c r="F4" t="s">
        <v>45</v>
      </c>
      <c r="G4">
        <v>3</v>
      </c>
      <c r="H4" t="s">
        <v>77</v>
      </c>
      <c r="I4">
        <v>96</v>
      </c>
    </row>
    <row r="5" spans="1:9" ht="15" customHeight="1" x14ac:dyDescent="0.2">
      <c r="C5" t="s">
        <v>39</v>
      </c>
      <c r="D5" t="s">
        <v>45</v>
      </c>
      <c r="E5" t="s">
        <v>37</v>
      </c>
      <c r="F5" t="s">
        <v>35</v>
      </c>
      <c r="G5">
        <v>4</v>
      </c>
      <c r="H5" t="s">
        <v>78</v>
      </c>
      <c r="I5">
        <v>141</v>
      </c>
    </row>
    <row r="6" spans="1:9" ht="15" customHeight="1" x14ac:dyDescent="0.2">
      <c r="D6" t="s">
        <v>36</v>
      </c>
      <c r="F6" t="s">
        <v>36</v>
      </c>
      <c r="G6">
        <v>5</v>
      </c>
      <c r="H6" t="s">
        <v>48</v>
      </c>
      <c r="I6">
        <v>186</v>
      </c>
    </row>
    <row r="7" spans="1:9" ht="15" customHeight="1" x14ac:dyDescent="0.2">
      <c r="D7" t="s">
        <v>37</v>
      </c>
      <c r="G7">
        <v>6</v>
      </c>
      <c r="H7" t="s">
        <v>79</v>
      </c>
      <c r="I7">
        <v>231</v>
      </c>
    </row>
    <row r="8" spans="1:9" x14ac:dyDescent="0.2">
      <c r="G8">
        <v>7</v>
      </c>
      <c r="H8" t="s">
        <v>49</v>
      </c>
      <c r="I8">
        <v>276</v>
      </c>
    </row>
    <row r="9" spans="1:9" x14ac:dyDescent="0.2">
      <c r="G9">
        <v>8</v>
      </c>
      <c r="H9" t="s">
        <v>50</v>
      </c>
      <c r="I9">
        <v>321</v>
      </c>
    </row>
    <row r="10" spans="1:9" x14ac:dyDescent="0.2">
      <c r="G10">
        <v>9</v>
      </c>
      <c r="H10" t="s">
        <v>80</v>
      </c>
      <c r="I10">
        <v>366</v>
      </c>
    </row>
    <row r="11" spans="1:9" x14ac:dyDescent="0.2">
      <c r="G11">
        <v>10</v>
      </c>
    </row>
    <row r="12" spans="1:9" x14ac:dyDescent="0.2">
      <c r="G12">
        <v>11</v>
      </c>
    </row>
    <row r="13" spans="1:9" x14ac:dyDescent="0.2">
      <c r="G13">
        <v>12</v>
      </c>
    </row>
    <row r="14" spans="1:9" x14ac:dyDescent="0.2">
      <c r="G14">
        <v>13</v>
      </c>
    </row>
    <row r="15" spans="1:9" x14ac:dyDescent="0.2">
      <c r="G15">
        <v>14</v>
      </c>
    </row>
    <row r="16" spans="1:9" x14ac:dyDescent="0.2">
      <c r="G16">
        <v>15</v>
      </c>
    </row>
    <row r="17" spans="7:7" x14ac:dyDescent="0.2">
      <c r="G17">
        <v>16</v>
      </c>
    </row>
    <row r="18" spans="7:7" x14ac:dyDescent="0.2">
      <c r="G18">
        <v>17</v>
      </c>
    </row>
    <row r="19" spans="7:7" x14ac:dyDescent="0.2">
      <c r="G19">
        <v>18</v>
      </c>
    </row>
    <row r="20" spans="7:7" x14ac:dyDescent="0.2">
      <c r="G20">
        <v>19</v>
      </c>
    </row>
    <row r="21" spans="7:7" x14ac:dyDescent="0.2">
      <c r="G21">
        <v>20</v>
      </c>
    </row>
    <row r="22" spans="7:7" x14ac:dyDescent="0.2">
      <c r="G22">
        <v>21</v>
      </c>
    </row>
    <row r="23" spans="7:7" x14ac:dyDescent="0.2">
      <c r="G23">
        <v>22</v>
      </c>
    </row>
    <row r="24" spans="7:7" x14ac:dyDescent="0.2">
      <c r="G24">
        <v>23</v>
      </c>
    </row>
    <row r="25" spans="7:7" x14ac:dyDescent="0.2">
      <c r="G25">
        <v>24</v>
      </c>
    </row>
    <row r="26" spans="7:7" x14ac:dyDescent="0.2">
      <c r="G26">
        <v>25</v>
      </c>
    </row>
    <row r="27" spans="7:7" x14ac:dyDescent="0.2">
      <c r="G27">
        <v>26</v>
      </c>
    </row>
    <row r="28" spans="7:7" x14ac:dyDescent="0.2">
      <c r="G28">
        <v>27</v>
      </c>
    </row>
    <row r="29" spans="7:7" x14ac:dyDescent="0.2">
      <c r="G29">
        <v>28</v>
      </c>
    </row>
    <row r="30" spans="7:7" x14ac:dyDescent="0.2">
      <c r="G30">
        <v>29</v>
      </c>
    </row>
    <row r="31" spans="7:7" x14ac:dyDescent="0.2">
      <c r="G31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1"/>
  <sheetViews>
    <sheetView zoomScaleNormal="100" workbookViewId="0"/>
  </sheetViews>
  <sheetFormatPr defaultColWidth="8.609375" defaultRowHeight="15" customHeight="1" x14ac:dyDescent="0.2"/>
  <cols>
    <col min="1" max="4" width="11.97265625" style="80" customWidth="1"/>
    <col min="5" max="10" width="16.0078125" style="80" customWidth="1"/>
  </cols>
  <sheetData>
    <row r="1" spans="1:10" ht="30" customHeight="1" x14ac:dyDescent="0.25">
      <c r="A1" s="90" t="s">
        <v>81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" customHeight="1" x14ac:dyDescent="0.2">
      <c r="A2" s="91" t="s">
        <v>82</v>
      </c>
      <c r="B2" s="88"/>
      <c r="C2" s="88"/>
      <c r="D2" s="88"/>
      <c r="E2" s="88"/>
      <c r="F2" s="88"/>
      <c r="G2" s="88"/>
      <c r="H2" s="88"/>
      <c r="I2" s="88"/>
      <c r="J2" s="88"/>
    </row>
    <row r="4" spans="1:10" ht="17.25" customHeight="1" x14ac:dyDescent="0.2">
      <c r="A4" s="81" t="s">
        <v>83</v>
      </c>
      <c r="E4" s="89" t="s">
        <v>34</v>
      </c>
      <c r="F4" s="88"/>
      <c r="G4" s="88"/>
      <c r="H4" s="88"/>
      <c r="I4" s="88"/>
      <c r="J4" s="88"/>
    </row>
    <row r="5" spans="1:10" ht="15" customHeight="1" x14ac:dyDescent="0.2">
      <c r="E5" s="18" t="s">
        <v>13</v>
      </c>
      <c r="F5" s="18" t="s">
        <v>20</v>
      </c>
      <c r="G5" s="18" t="s">
        <v>21</v>
      </c>
      <c r="H5" s="18" t="s">
        <v>22</v>
      </c>
      <c r="I5" s="18" t="s">
        <v>23</v>
      </c>
      <c r="J5" s="18" t="s">
        <v>24</v>
      </c>
    </row>
    <row r="6" spans="1:10" ht="15" customHeight="1" x14ac:dyDescent="0.2">
      <c r="E6" s="19"/>
      <c r="F6" s="19"/>
      <c r="G6" s="19"/>
      <c r="H6" s="19"/>
      <c r="I6" s="19"/>
      <c r="J6" s="19"/>
    </row>
    <row r="7" spans="1:10" ht="15" customHeight="1" x14ac:dyDescent="0.2">
      <c r="E7" s="20" t="s">
        <v>84</v>
      </c>
    </row>
    <row r="8" spans="1:10" ht="54.75" customHeight="1" x14ac:dyDescent="0.2">
      <c r="E8" s="21" t="s">
        <v>85</v>
      </c>
      <c r="F8" s="21" t="s">
        <v>86</v>
      </c>
      <c r="G8" s="21" t="s">
        <v>87</v>
      </c>
      <c r="H8" s="21" t="s">
        <v>88</v>
      </c>
      <c r="I8" s="21" t="s">
        <v>89</v>
      </c>
      <c r="J8" s="21" t="s">
        <v>90</v>
      </c>
    </row>
    <row r="25" spans="1:10" ht="1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17.25" customHeight="1" x14ac:dyDescent="0.2">
      <c r="A26" s="81" t="s">
        <v>91</v>
      </c>
      <c r="E26" s="89" t="s">
        <v>41</v>
      </c>
      <c r="F26" s="88"/>
      <c r="G26" s="88"/>
      <c r="H26" s="88"/>
      <c r="I26" s="88"/>
      <c r="J26" s="88"/>
    </row>
    <row r="27" spans="1:10" ht="15" customHeight="1" x14ac:dyDescent="0.2">
      <c r="E27" s="18" t="s">
        <v>13</v>
      </c>
      <c r="F27" s="18" t="s">
        <v>20</v>
      </c>
      <c r="G27" s="18" t="s">
        <v>21</v>
      </c>
      <c r="H27" s="18" t="s">
        <v>22</v>
      </c>
      <c r="I27" s="18" t="s">
        <v>23</v>
      </c>
      <c r="J27" s="18" t="s">
        <v>24</v>
      </c>
    </row>
    <row r="28" spans="1:10" ht="15" customHeight="1" x14ac:dyDescent="0.2">
      <c r="E28" s="19"/>
      <c r="F28" s="19"/>
      <c r="G28" s="19"/>
      <c r="H28" s="19"/>
      <c r="I28" s="19"/>
      <c r="J28" s="19"/>
    </row>
    <row r="29" spans="1:10" ht="15" customHeight="1" x14ac:dyDescent="0.2">
      <c r="E29" s="20" t="s">
        <v>84</v>
      </c>
    </row>
    <row r="30" spans="1:10" ht="54.75" customHeight="1" x14ac:dyDescent="0.2">
      <c r="E30" s="21" t="s">
        <v>85</v>
      </c>
      <c r="F30" s="21" t="s">
        <v>86</v>
      </c>
      <c r="G30" s="21" t="s">
        <v>87</v>
      </c>
      <c r="H30" s="21" t="s">
        <v>88</v>
      </c>
      <c r="I30" s="21" t="s">
        <v>89</v>
      </c>
      <c r="J30" s="21" t="s">
        <v>90</v>
      </c>
    </row>
    <row r="47" spans="1:10" ht="15" customHeight="1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ht="17.25" customHeight="1" x14ac:dyDescent="0.2">
      <c r="A48" s="81" t="s">
        <v>92</v>
      </c>
      <c r="E48" s="89" t="s">
        <v>77</v>
      </c>
      <c r="F48" s="88"/>
      <c r="G48" s="88"/>
      <c r="H48" s="88"/>
      <c r="I48" s="88"/>
      <c r="J48" s="88"/>
    </row>
    <row r="49" spans="5:10" ht="15" customHeight="1" x14ac:dyDescent="0.2">
      <c r="E49" s="18" t="s">
        <v>13</v>
      </c>
      <c r="F49" s="18" t="s">
        <v>20</v>
      </c>
      <c r="G49" s="18" t="s">
        <v>21</v>
      </c>
      <c r="H49" s="18" t="s">
        <v>22</v>
      </c>
      <c r="I49" s="18" t="s">
        <v>23</v>
      </c>
      <c r="J49" s="18" t="s">
        <v>24</v>
      </c>
    </row>
    <row r="50" spans="5:10" ht="15" customHeight="1" x14ac:dyDescent="0.2">
      <c r="E50" s="19"/>
      <c r="F50" s="19"/>
      <c r="G50" s="19"/>
      <c r="H50" s="19"/>
      <c r="I50" s="19"/>
      <c r="J50" s="19"/>
    </row>
    <row r="51" spans="5:10" ht="15" customHeight="1" x14ac:dyDescent="0.2">
      <c r="E51" s="20" t="s">
        <v>84</v>
      </c>
    </row>
    <row r="52" spans="5:10" ht="54.75" customHeight="1" x14ac:dyDescent="0.2">
      <c r="E52" s="21" t="s">
        <v>85</v>
      </c>
      <c r="F52" s="21" t="s">
        <v>86</v>
      </c>
      <c r="G52" s="21" t="s">
        <v>87</v>
      </c>
      <c r="H52" s="21" t="s">
        <v>88</v>
      </c>
      <c r="I52" s="21" t="s">
        <v>89</v>
      </c>
      <c r="J52" s="21" t="s">
        <v>90</v>
      </c>
    </row>
    <row r="69" spans="1:10" ht="15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ht="17.25" customHeight="1" x14ac:dyDescent="0.2">
      <c r="A70" s="81" t="s">
        <v>93</v>
      </c>
      <c r="E70" s="89" t="s">
        <v>78</v>
      </c>
      <c r="F70" s="88"/>
      <c r="G70" s="88"/>
      <c r="H70" s="88"/>
      <c r="I70" s="88"/>
      <c r="J70" s="88"/>
    </row>
    <row r="71" spans="1:10" ht="15" customHeight="1" x14ac:dyDescent="0.2">
      <c r="E71" s="18" t="s">
        <v>13</v>
      </c>
      <c r="F71" s="18" t="s">
        <v>20</v>
      </c>
      <c r="G71" s="18" t="s">
        <v>21</v>
      </c>
      <c r="H71" s="18" t="s">
        <v>22</v>
      </c>
      <c r="I71" s="18" t="s">
        <v>23</v>
      </c>
      <c r="J71" s="18" t="s">
        <v>24</v>
      </c>
    </row>
    <row r="72" spans="1:10" ht="15" customHeight="1" x14ac:dyDescent="0.2">
      <c r="E72" s="19"/>
      <c r="F72" s="19"/>
      <c r="G72" s="19"/>
      <c r="H72" s="19"/>
      <c r="I72" s="19"/>
      <c r="J72" s="19"/>
    </row>
    <row r="73" spans="1:10" ht="15" customHeight="1" x14ac:dyDescent="0.2">
      <c r="E73" s="20" t="s">
        <v>84</v>
      </c>
    </row>
    <row r="74" spans="1:10" ht="54.75" customHeight="1" x14ac:dyDescent="0.2">
      <c r="E74" s="21" t="s">
        <v>85</v>
      </c>
      <c r="F74" s="21" t="s">
        <v>86</v>
      </c>
      <c r="G74" s="21" t="s">
        <v>87</v>
      </c>
      <c r="H74" s="21" t="s">
        <v>88</v>
      </c>
      <c r="I74" s="21" t="s">
        <v>89</v>
      </c>
      <c r="J74" s="21" t="s">
        <v>90</v>
      </c>
    </row>
    <row r="91" spans="1:10" ht="15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17.25" customHeight="1" x14ac:dyDescent="0.2">
      <c r="A92" s="81" t="s">
        <v>94</v>
      </c>
      <c r="E92" s="89" t="s">
        <v>48</v>
      </c>
      <c r="F92" s="88"/>
      <c r="G92" s="88"/>
      <c r="H92" s="88"/>
      <c r="I92" s="88"/>
      <c r="J92" s="88"/>
    </row>
    <row r="93" spans="1:10" ht="15" customHeight="1" x14ac:dyDescent="0.2">
      <c r="E93" s="18" t="s">
        <v>13</v>
      </c>
      <c r="F93" s="18" t="s">
        <v>20</v>
      </c>
      <c r="G93" s="18" t="s">
        <v>21</v>
      </c>
      <c r="H93" s="18" t="s">
        <v>22</v>
      </c>
      <c r="I93" s="18" t="s">
        <v>23</v>
      </c>
      <c r="J93" s="18" t="s">
        <v>24</v>
      </c>
    </row>
    <row r="94" spans="1:10" ht="15" customHeight="1" x14ac:dyDescent="0.2">
      <c r="E94" s="19"/>
      <c r="F94" s="19"/>
      <c r="G94" s="19"/>
      <c r="H94" s="19"/>
      <c r="I94" s="19"/>
      <c r="J94" s="19"/>
    </row>
    <row r="95" spans="1:10" ht="15" customHeight="1" x14ac:dyDescent="0.2">
      <c r="E95" s="20" t="s">
        <v>84</v>
      </c>
    </row>
    <row r="96" spans="1:10" ht="54.75" customHeight="1" x14ac:dyDescent="0.2">
      <c r="E96" s="21" t="s">
        <v>85</v>
      </c>
      <c r="F96" s="21" t="s">
        <v>86</v>
      </c>
      <c r="G96" s="21" t="s">
        <v>87</v>
      </c>
      <c r="H96" s="21" t="s">
        <v>88</v>
      </c>
      <c r="I96" s="21" t="s">
        <v>89</v>
      </c>
      <c r="J96" s="21" t="s">
        <v>90</v>
      </c>
    </row>
    <row r="113" spans="1:10" ht="15" customHeight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spans="1:10" ht="17.25" customHeight="1" x14ac:dyDescent="0.2">
      <c r="A114" s="81" t="s">
        <v>95</v>
      </c>
      <c r="E114" s="89" t="s">
        <v>79</v>
      </c>
      <c r="F114" s="88"/>
      <c r="G114" s="88"/>
      <c r="H114" s="88"/>
      <c r="I114" s="88"/>
      <c r="J114" s="88"/>
    </row>
    <row r="115" spans="1:10" ht="15" customHeight="1" x14ac:dyDescent="0.2">
      <c r="E115" s="18" t="s">
        <v>13</v>
      </c>
      <c r="F115" s="18" t="s">
        <v>20</v>
      </c>
      <c r="G115" s="18" t="s">
        <v>21</v>
      </c>
      <c r="H115" s="18" t="s">
        <v>22</v>
      </c>
      <c r="I115" s="18" t="s">
        <v>23</v>
      </c>
      <c r="J115" s="18" t="s">
        <v>24</v>
      </c>
    </row>
    <row r="116" spans="1:10" ht="15" customHeight="1" x14ac:dyDescent="0.2">
      <c r="E116" s="19"/>
      <c r="F116" s="19"/>
      <c r="G116" s="19"/>
      <c r="H116" s="19"/>
      <c r="I116" s="19"/>
      <c r="J116" s="19"/>
    </row>
    <row r="117" spans="1:10" ht="15" customHeight="1" x14ac:dyDescent="0.2">
      <c r="E117" s="20" t="s">
        <v>84</v>
      </c>
    </row>
    <row r="118" spans="1:10" ht="54.75" customHeight="1" x14ac:dyDescent="0.2">
      <c r="E118" s="21" t="s">
        <v>85</v>
      </c>
      <c r="F118" s="21" t="s">
        <v>86</v>
      </c>
      <c r="G118" s="21" t="s">
        <v>87</v>
      </c>
      <c r="H118" s="21" t="s">
        <v>88</v>
      </c>
      <c r="I118" s="21" t="s">
        <v>89</v>
      </c>
      <c r="J118" s="21" t="s">
        <v>90</v>
      </c>
    </row>
    <row r="135" spans="1:10" ht="15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spans="1:10" ht="17.25" customHeight="1" x14ac:dyDescent="0.2">
      <c r="A136" s="81" t="s">
        <v>96</v>
      </c>
      <c r="E136" s="89" t="s">
        <v>49</v>
      </c>
      <c r="F136" s="88"/>
      <c r="G136" s="88"/>
      <c r="H136" s="88"/>
      <c r="I136" s="88"/>
      <c r="J136" s="88"/>
    </row>
    <row r="137" spans="1:10" ht="15" customHeight="1" x14ac:dyDescent="0.2">
      <c r="E137" s="18" t="s">
        <v>13</v>
      </c>
      <c r="F137" s="18" t="s">
        <v>20</v>
      </c>
      <c r="G137" s="18" t="s">
        <v>21</v>
      </c>
      <c r="H137" s="18" t="s">
        <v>22</v>
      </c>
      <c r="I137" s="18" t="s">
        <v>23</v>
      </c>
      <c r="J137" s="18" t="s">
        <v>24</v>
      </c>
    </row>
    <row r="138" spans="1:10" ht="15" customHeight="1" x14ac:dyDescent="0.2">
      <c r="E138" s="19"/>
      <c r="F138" s="19"/>
      <c r="G138" s="19"/>
      <c r="H138" s="19"/>
      <c r="I138" s="19"/>
      <c r="J138" s="19"/>
    </row>
    <row r="139" spans="1:10" ht="15" customHeight="1" x14ac:dyDescent="0.2">
      <c r="E139" s="20" t="s">
        <v>84</v>
      </c>
    </row>
    <row r="140" spans="1:10" ht="54.75" customHeight="1" x14ac:dyDescent="0.2">
      <c r="E140" s="21" t="s">
        <v>85</v>
      </c>
      <c r="F140" s="21" t="s">
        <v>86</v>
      </c>
      <c r="G140" s="21" t="s">
        <v>87</v>
      </c>
      <c r="H140" s="21" t="s">
        <v>88</v>
      </c>
      <c r="I140" s="21" t="s">
        <v>89</v>
      </c>
      <c r="J140" s="21" t="s">
        <v>90</v>
      </c>
    </row>
    <row r="157" spans="1:10" ht="1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spans="1:10" ht="17.25" customHeight="1" x14ac:dyDescent="0.2">
      <c r="A158" s="81" t="s">
        <v>97</v>
      </c>
      <c r="E158" s="89" t="s">
        <v>50</v>
      </c>
      <c r="F158" s="88"/>
      <c r="G158" s="88"/>
      <c r="H158" s="88"/>
      <c r="I158" s="88"/>
      <c r="J158" s="88"/>
    </row>
    <row r="159" spans="1:10" ht="15" customHeight="1" x14ac:dyDescent="0.2">
      <c r="E159" s="18" t="s">
        <v>13</v>
      </c>
      <c r="F159" s="18" t="s">
        <v>20</v>
      </c>
      <c r="G159" s="18" t="s">
        <v>21</v>
      </c>
      <c r="H159" s="18" t="s">
        <v>22</v>
      </c>
      <c r="I159" s="18" t="s">
        <v>23</v>
      </c>
      <c r="J159" s="18" t="s">
        <v>24</v>
      </c>
    </row>
    <row r="160" spans="1:10" ht="15" customHeight="1" x14ac:dyDescent="0.2">
      <c r="E160" s="19"/>
      <c r="F160" s="19"/>
      <c r="G160" s="19"/>
      <c r="H160" s="19"/>
      <c r="I160" s="19"/>
      <c r="J160" s="19"/>
    </row>
    <row r="161" spans="5:10" ht="15" customHeight="1" x14ac:dyDescent="0.2">
      <c r="E161" s="20" t="s">
        <v>84</v>
      </c>
    </row>
    <row r="162" spans="5:10" ht="54.75" customHeight="1" x14ac:dyDescent="0.2">
      <c r="E162" s="21" t="s">
        <v>85</v>
      </c>
      <c r="F162" s="21" t="s">
        <v>86</v>
      </c>
      <c r="G162" s="21" t="s">
        <v>87</v>
      </c>
      <c r="H162" s="21" t="s">
        <v>88</v>
      </c>
      <c r="I162" s="21" t="s">
        <v>89</v>
      </c>
      <c r="J162" s="21" t="s">
        <v>90</v>
      </c>
    </row>
    <row r="179" spans="1:10" ht="15" customHeight="1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spans="1:10" ht="17.25" customHeight="1" x14ac:dyDescent="0.2">
      <c r="A180" s="81" t="s">
        <v>98</v>
      </c>
      <c r="E180" s="89" t="s">
        <v>80</v>
      </c>
      <c r="F180" s="88"/>
      <c r="G180" s="88"/>
      <c r="H180" s="88"/>
      <c r="I180" s="88"/>
      <c r="J180" s="88"/>
    </row>
    <row r="181" spans="1:10" ht="15" customHeight="1" x14ac:dyDescent="0.2">
      <c r="E181" s="18" t="s">
        <v>13</v>
      </c>
      <c r="F181" s="18" t="s">
        <v>20</v>
      </c>
      <c r="G181" s="18" t="s">
        <v>21</v>
      </c>
      <c r="H181" s="18" t="s">
        <v>22</v>
      </c>
      <c r="I181" s="18" t="s">
        <v>23</v>
      </c>
      <c r="J181" s="18" t="s">
        <v>24</v>
      </c>
    </row>
    <row r="182" spans="1:10" ht="15" customHeight="1" x14ac:dyDescent="0.2">
      <c r="E182" s="19"/>
      <c r="F182" s="19"/>
      <c r="G182" s="19"/>
      <c r="H182" s="19"/>
      <c r="I182" s="19"/>
      <c r="J182" s="19"/>
    </row>
    <row r="183" spans="1:10" ht="15" customHeight="1" x14ac:dyDescent="0.2">
      <c r="E183" s="20" t="s">
        <v>84</v>
      </c>
    </row>
    <row r="184" spans="1:10" ht="54.75" customHeight="1" x14ac:dyDescent="0.2">
      <c r="E184" s="21" t="s">
        <v>85</v>
      </c>
      <c r="F184" s="21" t="s">
        <v>86</v>
      </c>
      <c r="G184" s="21" t="s">
        <v>87</v>
      </c>
      <c r="H184" s="21" t="s">
        <v>88</v>
      </c>
      <c r="I184" s="21" t="s">
        <v>89</v>
      </c>
      <c r="J184" s="21" t="s">
        <v>90</v>
      </c>
    </row>
    <row r="201" spans="1:10" ht="15" customHeight="1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</sheetData>
  <sheetProtection sheet="1" objects="1" scenarios="1" formatCells="0" formatColumns="0" formatRows="0"/>
  <mergeCells count="11">
    <mergeCell ref="E180:J180"/>
    <mergeCell ref="E158:J158"/>
    <mergeCell ref="E114:J114"/>
    <mergeCell ref="A2:J2"/>
    <mergeCell ref="E4:J4"/>
    <mergeCell ref="E26:J26"/>
    <mergeCell ref="E136:J136"/>
    <mergeCell ref="A1:J1"/>
    <mergeCell ref="E48:J48"/>
    <mergeCell ref="E92:J92"/>
    <mergeCell ref="E70:J70"/>
  </mergeCells>
  <dataValidations count="6">
    <dataValidation type="list" allowBlank="1" showErrorMessage="1" errorTitle="Invalid Player" error="Select a player eligible for C position" sqref="E6 E28 E50 E72 E94 E116 E138 E160 E182" xr:uid="{00000000-0002-0000-0500-000000000000}">
      <formula1>"Phipps,Rodriguez"</formula1>
      <formula2>0</formula2>
    </dataValidation>
    <dataValidation type="list" allowBlank="1" showErrorMessage="1" errorTitle="Invalid Player" error="Select a player eligible for Q position" sqref="F6 F28 F50 F72 F94 F116 F138 F160 F182" xr:uid="{00000000-0002-0000-0500-000001000000}">
      <formula1>"Martinez,Simmons"</formula1>
      <formula2>0</formula2>
    </dataValidation>
    <dataValidation type="list" allowBlank="1" showErrorMessage="1" errorTitle="Invalid Player" error="Select a player eligible for W position" sqref="G6 G28 G50 G72 G94 G116 G138 G160 G182" xr:uid="{00000000-0002-0000-0500-000002000000}">
      <formula1>"Martinez,Simmons,Spivey,Stevens"</formula1>
      <formula2>0</formula2>
    </dataValidation>
    <dataValidation type="list" allowBlank="1" showErrorMessage="1" errorTitle="Invalid Player" error="Select a player eligible for X position" sqref="H6 H28 H50 H72 H94 H116 H138 H160 H182" xr:uid="{00000000-0002-0000-0500-000003000000}">
      <formula1>"Dawson,Hobbins,March,Martinez,Simmons,Woodward"</formula1>
      <formula2>0</formula2>
    </dataValidation>
    <dataValidation type="list" allowBlank="1" showErrorMessage="1" errorTitle="Invalid Player" error="Select a player eligible for Y position" sqref="I6 I28 I50 I72 I94 I116 I138 I160 I182" xr:uid="{00000000-0002-0000-0500-000004000000}">
      <formula1>"Dawson,Spivey,Stevens,Woodward"</formula1>
      <formula2>0</formula2>
    </dataValidation>
    <dataValidation type="list" allowBlank="1" showErrorMessage="1" errorTitle="Invalid Player" error="Select a player eligible for Z position" sqref="J6 J28 J50 J72 J94 J116 J138 J160 J182" xr:uid="{00000000-0002-0000-0500-000005000000}">
      <formula1>"Hobbins,March,Martinez,Phipps,Simmons"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zoomScaleNormal="100" workbookViewId="0"/>
  </sheetViews>
  <sheetFormatPr defaultColWidth="8.609375" defaultRowHeight="15" customHeight="1" x14ac:dyDescent="0.2"/>
  <cols>
    <col min="1" max="1" width="7.93359375" style="80" customWidth="1"/>
    <col min="2" max="2" width="23.9453125" style="80" customWidth="1"/>
    <col min="3" max="8" width="27.98046875" style="80" customWidth="1"/>
  </cols>
  <sheetData>
    <row r="1" spans="1:8" ht="15" customHeight="1" x14ac:dyDescent="0.2">
      <c r="A1" s="23" t="s">
        <v>25</v>
      </c>
      <c r="B1" s="23" t="s">
        <v>26</v>
      </c>
      <c r="C1" s="23" t="s">
        <v>27</v>
      </c>
      <c r="D1" s="23" t="s">
        <v>99</v>
      </c>
      <c r="E1" s="23" t="s">
        <v>100</v>
      </c>
      <c r="F1" s="23" t="s">
        <v>101</v>
      </c>
      <c r="G1" s="23" t="s">
        <v>102</v>
      </c>
      <c r="H1" s="23" t="s">
        <v>32</v>
      </c>
    </row>
    <row r="2" spans="1:8" ht="23.25" customHeight="1" x14ac:dyDescent="0.2">
      <c r="A2" s="3">
        <v>1</v>
      </c>
      <c r="B2" s="24" t="s">
        <v>34</v>
      </c>
      <c r="C2" s="25" t="s">
        <v>103</v>
      </c>
      <c r="D2" s="25" t="s">
        <v>104</v>
      </c>
      <c r="E2" s="25" t="s">
        <v>105</v>
      </c>
      <c r="F2" s="25" t="s">
        <v>106</v>
      </c>
      <c r="G2" s="25" t="s">
        <v>107</v>
      </c>
      <c r="H2" s="25" t="s">
        <v>108</v>
      </c>
    </row>
    <row r="3" spans="1:8" ht="23.25" customHeight="1" x14ac:dyDescent="0.2">
      <c r="A3" s="3">
        <v>2</v>
      </c>
      <c r="B3" s="24" t="s">
        <v>41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</row>
    <row r="4" spans="1:8" ht="23.25" customHeight="1" x14ac:dyDescent="0.2">
      <c r="A4" s="3">
        <v>3</v>
      </c>
      <c r="B4" s="24" t="s">
        <v>77</v>
      </c>
      <c r="C4" s="25" t="s">
        <v>103</v>
      </c>
      <c r="D4" s="25" t="s">
        <v>104</v>
      </c>
      <c r="E4" s="25" t="s">
        <v>105</v>
      </c>
      <c r="F4" s="25" t="s">
        <v>106</v>
      </c>
      <c r="G4" s="25" t="s">
        <v>107</v>
      </c>
      <c r="H4" s="25" t="s">
        <v>108</v>
      </c>
    </row>
    <row r="5" spans="1:8" ht="23.25" customHeight="1" x14ac:dyDescent="0.2">
      <c r="A5" s="3">
        <v>4</v>
      </c>
      <c r="B5" s="24" t="s">
        <v>78</v>
      </c>
      <c r="C5" s="25" t="s">
        <v>103</v>
      </c>
      <c r="D5" s="25" t="s">
        <v>104</v>
      </c>
      <c r="E5" s="25" t="s">
        <v>105</v>
      </c>
      <c r="F5" s="25" t="s">
        <v>106</v>
      </c>
      <c r="G5" s="25" t="s">
        <v>107</v>
      </c>
      <c r="H5" s="25" t="s">
        <v>108</v>
      </c>
    </row>
    <row r="6" spans="1:8" ht="23.25" customHeight="1" x14ac:dyDescent="0.2">
      <c r="A6" s="3">
        <v>5</v>
      </c>
      <c r="B6" s="24" t="s">
        <v>48</v>
      </c>
      <c r="C6" s="25" t="s">
        <v>103</v>
      </c>
      <c r="D6" s="25" t="s">
        <v>104</v>
      </c>
      <c r="E6" s="25" t="s">
        <v>105</v>
      </c>
      <c r="F6" s="25" t="s">
        <v>106</v>
      </c>
      <c r="G6" s="25" t="s">
        <v>107</v>
      </c>
      <c r="H6" s="25" t="s">
        <v>108</v>
      </c>
    </row>
    <row r="7" spans="1:8" ht="23.25" customHeight="1" x14ac:dyDescent="0.2">
      <c r="A7" s="3">
        <v>6</v>
      </c>
      <c r="B7" s="24" t="s">
        <v>79</v>
      </c>
      <c r="C7" s="25" t="s">
        <v>103</v>
      </c>
      <c r="D7" s="25" t="s">
        <v>104</v>
      </c>
      <c r="E7" s="25" t="s">
        <v>105</v>
      </c>
      <c r="F7" s="25" t="s">
        <v>106</v>
      </c>
      <c r="G7" s="25" t="s">
        <v>107</v>
      </c>
      <c r="H7" s="25" t="s">
        <v>108</v>
      </c>
    </row>
    <row r="8" spans="1:8" ht="23.25" customHeight="1" x14ac:dyDescent="0.2">
      <c r="A8" s="3">
        <v>7</v>
      </c>
      <c r="B8" s="24" t="s">
        <v>49</v>
      </c>
      <c r="C8" s="25" t="s">
        <v>103</v>
      </c>
      <c r="D8" s="25" t="s">
        <v>104</v>
      </c>
      <c r="E8" s="25" t="s">
        <v>105</v>
      </c>
      <c r="F8" s="25" t="s">
        <v>106</v>
      </c>
      <c r="G8" s="25" t="s">
        <v>107</v>
      </c>
      <c r="H8" s="25" t="s">
        <v>108</v>
      </c>
    </row>
    <row r="9" spans="1:8" ht="23.25" customHeight="1" x14ac:dyDescent="0.2">
      <c r="A9" s="3">
        <v>8</v>
      </c>
      <c r="B9" s="24" t="s">
        <v>50</v>
      </c>
      <c r="C9" s="25" t="s">
        <v>103</v>
      </c>
      <c r="D9" s="25" t="s">
        <v>104</v>
      </c>
      <c r="E9" s="25" t="s">
        <v>105</v>
      </c>
      <c r="F9" s="25" t="s">
        <v>106</v>
      </c>
      <c r="G9" s="25" t="s">
        <v>107</v>
      </c>
      <c r="H9" s="25" t="s">
        <v>108</v>
      </c>
    </row>
    <row r="10" spans="1:8" ht="23.25" customHeight="1" x14ac:dyDescent="0.2">
      <c r="A10" s="3">
        <v>9</v>
      </c>
      <c r="B10" s="24" t="s">
        <v>80</v>
      </c>
      <c r="C10" s="25" t="s">
        <v>103</v>
      </c>
      <c r="D10" s="25" t="s">
        <v>104</v>
      </c>
      <c r="E10" s="25" t="s">
        <v>105</v>
      </c>
      <c r="F10" s="25" t="s">
        <v>106</v>
      </c>
      <c r="G10" s="25" t="s">
        <v>107</v>
      </c>
      <c r="H10" s="25" t="s">
        <v>108</v>
      </c>
    </row>
    <row r="13" spans="1:8" ht="15" customHeight="1" x14ac:dyDescent="0.2">
      <c r="A13" s="92" t="s">
        <v>109</v>
      </c>
      <c r="B13" s="88"/>
    </row>
    <row r="15" spans="1:8" ht="15" customHeight="1" x14ac:dyDescent="0.2">
      <c r="A15" s="82" t="s">
        <v>110</v>
      </c>
      <c r="B15" s="82" t="s">
        <v>111</v>
      </c>
    </row>
    <row r="16" spans="1:8" ht="15" customHeight="1" x14ac:dyDescent="0.2">
      <c r="A16" t="s">
        <v>112</v>
      </c>
      <c r="B16" t="s">
        <v>103</v>
      </c>
    </row>
    <row r="17" spans="1:2" ht="15" customHeight="1" x14ac:dyDescent="0.2">
      <c r="A17" t="s">
        <v>113</v>
      </c>
      <c r="B17" t="s">
        <v>104</v>
      </c>
    </row>
    <row r="18" spans="1:2" ht="15" customHeight="1" x14ac:dyDescent="0.2">
      <c r="A18" t="s">
        <v>114</v>
      </c>
      <c r="B18" t="s">
        <v>105</v>
      </c>
    </row>
    <row r="19" spans="1:2" ht="15" customHeight="1" x14ac:dyDescent="0.2">
      <c r="A19" t="s">
        <v>115</v>
      </c>
      <c r="B19" t="s">
        <v>106</v>
      </c>
    </row>
    <row r="20" spans="1:2" ht="15" customHeight="1" x14ac:dyDescent="0.2">
      <c r="A20" t="s">
        <v>116</v>
      </c>
      <c r="B20" t="s">
        <v>107</v>
      </c>
    </row>
    <row r="21" spans="1:2" ht="15" customHeight="1" x14ac:dyDescent="0.2">
      <c r="A21" t="s">
        <v>117</v>
      </c>
      <c r="B21" t="s">
        <v>108</v>
      </c>
    </row>
  </sheetData>
  <mergeCells count="1"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6"/>
  <sheetViews>
    <sheetView tabSelected="1" zoomScaleNormal="100" workbookViewId="0">
      <pane ySplit="5" topLeftCell="A6" activePane="bottomLeft" state="frozen"/>
      <selection pane="bottomLeft" activeCell="C6" sqref="C6"/>
    </sheetView>
  </sheetViews>
  <sheetFormatPr defaultColWidth="8.609375" defaultRowHeight="15" customHeight="1" x14ac:dyDescent="0.2"/>
  <cols>
    <col min="1" max="1" width="4.03515625" style="80" customWidth="1"/>
    <col min="2" max="2" width="11.97265625" style="80" customWidth="1"/>
    <col min="3" max="3" width="16.0078125" style="80" customWidth="1"/>
    <col min="4" max="4" width="18.0234375" style="80" customWidth="1"/>
    <col min="5" max="10" width="9.953125" style="80" customWidth="1"/>
    <col min="11" max="11" width="16.0078125" style="80" customWidth="1"/>
    <col min="12" max="12" width="6.9921875" style="80" customWidth="1"/>
    <col min="13" max="13" width="37.93359375" style="80" customWidth="1"/>
    <col min="14" max="14" width="27.98046875" style="80" customWidth="1"/>
    <col min="15" max="15" width="9.953125" style="80" customWidth="1"/>
    <col min="16" max="16" width="7.93359375" style="80" customWidth="1"/>
    <col min="18" max="18" width="18.0234375" style="80" customWidth="1"/>
    <col min="19" max="21" width="7.93359375" style="80" customWidth="1"/>
    <col min="22" max="22" width="9.01171875" style="80" customWidth="1"/>
    <col min="23" max="23" width="11.97265625" style="80" customWidth="1"/>
  </cols>
  <sheetData>
    <row r="1" spans="1:23" ht="19.5" customHeight="1" x14ac:dyDescent="0.25">
      <c r="A1" s="90" t="s">
        <v>118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O1" s="26"/>
      <c r="P1" s="26"/>
      <c r="R1" s="122" t="s">
        <v>119</v>
      </c>
      <c r="S1" s="88"/>
      <c r="T1" s="88"/>
      <c r="U1" s="88"/>
      <c r="V1" s="88"/>
      <c r="W1" s="88"/>
    </row>
    <row r="2" spans="1:23" ht="15" customHeight="1" x14ac:dyDescent="0.2">
      <c r="A2" s="125" t="s">
        <v>120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O2" s="26"/>
      <c r="P2" s="26"/>
      <c r="R2" s="118" t="s">
        <v>121</v>
      </c>
      <c r="S2" s="88"/>
      <c r="T2" s="88"/>
      <c r="U2" s="88"/>
      <c r="V2" s="88"/>
      <c r="W2" s="88"/>
    </row>
    <row r="3" spans="1:23" ht="15" customHeight="1" x14ac:dyDescent="0.2">
      <c r="O3" s="26"/>
      <c r="P3" s="26"/>
    </row>
    <row r="4" spans="1:23" ht="24.75" customHeight="1" x14ac:dyDescent="0.2">
      <c r="A4" s="27" t="s">
        <v>122</v>
      </c>
      <c r="B4" s="27" t="s">
        <v>123</v>
      </c>
      <c r="C4" s="27" t="s">
        <v>124</v>
      </c>
      <c r="D4" s="27" t="s">
        <v>125</v>
      </c>
      <c r="E4" s="27" t="s">
        <v>13</v>
      </c>
      <c r="F4" s="27" t="s">
        <v>20</v>
      </c>
      <c r="G4" s="27" t="s">
        <v>21</v>
      </c>
      <c r="H4" s="27" t="s">
        <v>22</v>
      </c>
      <c r="I4" s="27" t="s">
        <v>23</v>
      </c>
      <c r="J4" s="27" t="s">
        <v>24</v>
      </c>
      <c r="K4" s="27" t="s">
        <v>126</v>
      </c>
      <c r="L4" s="27" t="s">
        <v>127</v>
      </c>
      <c r="M4" s="27" t="s">
        <v>33</v>
      </c>
      <c r="N4" s="28" t="s">
        <v>128</v>
      </c>
      <c r="O4" s="29" t="s">
        <v>129</v>
      </c>
      <c r="P4" s="29" t="s">
        <v>130</v>
      </c>
      <c r="R4" s="128" t="s">
        <v>131</v>
      </c>
      <c r="S4" s="88"/>
      <c r="T4" s="88"/>
      <c r="U4" s="88"/>
      <c r="V4" s="88"/>
      <c r="W4" s="88"/>
    </row>
    <row r="5" spans="1:23" ht="15" customHeight="1" x14ac:dyDescent="0.2">
      <c r="A5" s="96" t="s">
        <v>132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O5" s="26"/>
      <c r="P5" s="26"/>
      <c r="R5" s="30" t="s">
        <v>75</v>
      </c>
      <c r="S5" s="30" t="s">
        <v>133</v>
      </c>
      <c r="T5" s="30" t="s">
        <v>134</v>
      </c>
      <c r="U5" s="30" t="s">
        <v>135</v>
      </c>
      <c r="V5" s="30" t="s">
        <v>136</v>
      </c>
      <c r="W5" s="30" t="s">
        <v>137</v>
      </c>
    </row>
    <row r="6" spans="1:23" ht="60" customHeight="1" x14ac:dyDescent="0.2">
      <c r="A6" s="31">
        <v>1</v>
      </c>
      <c r="B6" s="79" t="s">
        <v>138</v>
      </c>
      <c r="C6" s="84" t="s">
        <v>34</v>
      </c>
      <c r="D6" s="31" t="s">
        <v>139</v>
      </c>
      <c r="E6" s="31" t="s">
        <v>35</v>
      </c>
      <c r="F6" s="31" t="s">
        <v>36</v>
      </c>
      <c r="G6" s="31" t="s">
        <v>40</v>
      </c>
      <c r="H6" s="31" t="s">
        <v>45</v>
      </c>
      <c r="I6" s="31" t="s">
        <v>39</v>
      </c>
      <c r="J6" s="31" t="s">
        <v>46</v>
      </c>
      <c r="K6" s="32" t="s">
        <v>140</v>
      </c>
      <c r="L6" s="33" t="s">
        <v>141</v>
      </c>
      <c r="M6" s="34" t="s">
        <v>142</v>
      </c>
      <c r="N6" s="35" t="s">
        <v>143</v>
      </c>
      <c r="O6" s="36" t="s">
        <v>144</v>
      </c>
      <c r="P6" s="37">
        <v>8</v>
      </c>
      <c r="R6" s="2" t="s">
        <v>34</v>
      </c>
      <c r="S6" s="3">
        <f>COUNTIFS($C$6:$C$41,"*Tick*",$O$6:$O$41,"&lt;&gt;")</f>
        <v>4</v>
      </c>
      <c r="T6" s="38">
        <f>COUNTIFS($C$6:$C$41,"*Tick*",$O$6:$O$41,"✓")</f>
        <v>0</v>
      </c>
      <c r="U6" s="39">
        <f>COUNTIFS($C$6:$C$41,"*Tick*",$O$6:$O$41,"✗")</f>
        <v>0</v>
      </c>
      <c r="V6" s="40" t="str">
        <f>IF((T6+U6)=0,"-",T6/(T6+U6))</f>
        <v>-</v>
      </c>
      <c r="W6" s="3" t="str">
        <f>IF(V6="-","⏳ Not Used",IF(V6&gt;=0.6,"🔥 HOT",IF(V6&lt;=0.4,"❄️ COLD","✅ OK")))</f>
        <v>⏳ Not Used</v>
      </c>
    </row>
    <row r="7" spans="1:23" ht="60" customHeight="1" x14ac:dyDescent="0.2">
      <c r="A7" s="31">
        <v>2</v>
      </c>
      <c r="B7" s="79" t="s">
        <v>138</v>
      </c>
      <c r="C7" s="84" t="s">
        <v>34</v>
      </c>
      <c r="D7" s="31" t="s">
        <v>145</v>
      </c>
      <c r="E7" s="31" t="s">
        <v>35</v>
      </c>
      <c r="F7" s="31" t="s">
        <v>36</v>
      </c>
      <c r="G7" s="31" t="s">
        <v>40</v>
      </c>
      <c r="H7" s="31" t="s">
        <v>45</v>
      </c>
      <c r="I7" s="31" t="s">
        <v>39</v>
      </c>
      <c r="J7" s="31" t="s">
        <v>46</v>
      </c>
      <c r="K7" s="32" t="s">
        <v>146</v>
      </c>
      <c r="L7" s="33" t="s">
        <v>141</v>
      </c>
      <c r="M7" s="34" t="s">
        <v>147</v>
      </c>
      <c r="N7" s="35" t="s">
        <v>143</v>
      </c>
      <c r="O7" s="36" t="s">
        <v>144</v>
      </c>
      <c r="P7" s="37">
        <v>5</v>
      </c>
      <c r="R7" s="2" t="s">
        <v>41</v>
      </c>
      <c r="S7" s="3">
        <f>COUNTIFS($C$6:$C$41,"*Tick Tock*",$O$6:$O$41,"&lt;&gt;")</f>
        <v>1</v>
      </c>
      <c r="T7" s="38">
        <f>COUNTIFS($C$6:$C$41,"*Tick Tock*",$O$6:$O$41,"✓")</f>
        <v>0</v>
      </c>
      <c r="U7" s="39">
        <f>COUNTIFS($C$6:$C$41,"*Tick Tock*",$O$6:$O$41,"✗")</f>
        <v>0</v>
      </c>
      <c r="V7" s="40" t="str">
        <f>IF((T7+U7)=0,"-",T7/(T7+U7))</f>
        <v>-</v>
      </c>
      <c r="W7" s="3" t="str">
        <f>IF(V7="-","⏳ Not Used",IF(V7&gt;=0.6,"🔥 HOT",IF(V7&lt;=0.4,"❄️ COLD","✅ OK")))</f>
        <v>⏳ Not Used</v>
      </c>
    </row>
    <row r="8" spans="1:23" ht="60" customHeight="1" x14ac:dyDescent="0.2">
      <c r="A8" s="31">
        <v>3</v>
      </c>
      <c r="B8" s="79" t="s">
        <v>138</v>
      </c>
      <c r="C8" s="84" t="s">
        <v>41</v>
      </c>
      <c r="D8" s="31" t="s">
        <v>148</v>
      </c>
      <c r="E8" s="31" t="s">
        <v>35</v>
      </c>
      <c r="F8" s="31" t="s">
        <v>36</v>
      </c>
      <c r="G8" s="31" t="s">
        <v>40</v>
      </c>
      <c r="H8" s="31" t="s">
        <v>44</v>
      </c>
      <c r="I8" s="31" t="s">
        <v>39</v>
      </c>
      <c r="J8" s="31" t="s">
        <v>45</v>
      </c>
      <c r="K8" s="32" t="s">
        <v>149</v>
      </c>
      <c r="L8" s="33" t="s">
        <v>141</v>
      </c>
      <c r="M8" s="34" t="s">
        <v>150</v>
      </c>
      <c r="N8" s="41" t="s">
        <v>151</v>
      </c>
      <c r="O8" s="36" t="s">
        <v>144</v>
      </c>
      <c r="P8" s="37">
        <v>15</v>
      </c>
      <c r="R8" s="2" t="s">
        <v>152</v>
      </c>
      <c r="S8" s="3">
        <f>COUNTIFS($C$6:$C$41,"*Circle - Run*",$O$6:$O$41,"&lt;&gt;")</f>
        <v>1</v>
      </c>
      <c r="T8" s="38">
        <f>COUNTIFS($C$6:$C$41,"*Circle - Run*",$O$6:$O$41,"✓")</f>
        <v>0</v>
      </c>
      <c r="U8" s="39">
        <f>COUNTIFS($C$6:$C$41,"*Circle - Run*",$O$6:$O$41,"✗")</f>
        <v>0</v>
      </c>
      <c r="V8" s="40" t="str">
        <f>IF((T8+U8)=0,"-",T8/(T8+U8))</f>
        <v>-</v>
      </c>
      <c r="W8" s="3" t="str">
        <f>IF(V8="-","⏳ Not Used",IF(V8&gt;=0.6,"🔥 HOT",IF(V8&lt;=0.4,"❄️ COLD","✅ OK")))</f>
        <v>⏳ Not Used</v>
      </c>
    </row>
    <row r="9" spans="1:23" ht="60" customHeight="1" x14ac:dyDescent="0.2">
      <c r="A9" s="31">
        <v>4</v>
      </c>
      <c r="B9" s="79" t="s">
        <v>138</v>
      </c>
      <c r="C9" s="84" t="s">
        <v>34</v>
      </c>
      <c r="D9" s="31" t="s">
        <v>153</v>
      </c>
      <c r="E9" s="31" t="s">
        <v>43</v>
      </c>
      <c r="F9" s="31" t="s">
        <v>36</v>
      </c>
      <c r="G9" s="31" t="s">
        <v>39</v>
      </c>
      <c r="H9" s="31" t="s">
        <v>45</v>
      </c>
      <c r="I9" s="31" t="s">
        <v>40</v>
      </c>
      <c r="J9" s="31" t="s">
        <v>46</v>
      </c>
      <c r="K9" s="32" t="s">
        <v>154</v>
      </c>
      <c r="L9" s="33" t="s">
        <v>141</v>
      </c>
      <c r="M9" s="34" t="s">
        <v>155</v>
      </c>
      <c r="N9" s="35" t="s">
        <v>156</v>
      </c>
      <c r="O9" s="36" t="s">
        <v>157</v>
      </c>
      <c r="P9" s="37">
        <v>2</v>
      </c>
      <c r="R9" s="2" t="s">
        <v>158</v>
      </c>
      <c r="S9" s="3">
        <f>COUNTIFS($C$6:$C$41,"*Circle - Pass*",$O$6:$O$41,"&lt;&gt;")</f>
        <v>1</v>
      </c>
      <c r="T9" s="38">
        <f>COUNTIFS($C$6:$C$41,"*Circle - Pass*",$O$6:$O$41,"✓")</f>
        <v>0</v>
      </c>
      <c r="U9" s="39">
        <f>COUNTIFS($C$6:$C$41,"*Circle - Pass*",$O$6:$O$41,"✗")</f>
        <v>0</v>
      </c>
      <c r="V9" s="40" t="str">
        <f>IF((T9+U9)=0,"-",T9/(T9+U9))</f>
        <v>-</v>
      </c>
      <c r="W9" s="3" t="str">
        <f>IF(V9="-","⏳ Not Used",IF(V9&gt;=0.6,"🔥 HOT",IF(V9&lt;=0.4,"❄️ COLD","✅ OK")))</f>
        <v>⏳ Not Used</v>
      </c>
    </row>
    <row r="10" spans="1:23" ht="60" customHeight="1" x14ac:dyDescent="0.2">
      <c r="A10" s="31">
        <v>5</v>
      </c>
      <c r="B10" s="79" t="s">
        <v>138</v>
      </c>
      <c r="C10" s="84" t="s">
        <v>78</v>
      </c>
      <c r="D10" s="31" t="s">
        <v>159</v>
      </c>
      <c r="E10" s="31" t="s">
        <v>43</v>
      </c>
      <c r="F10" s="31" t="s">
        <v>45</v>
      </c>
      <c r="G10" s="31" t="s">
        <v>39</v>
      </c>
      <c r="H10" s="31" t="s">
        <v>37</v>
      </c>
      <c r="I10" s="31" t="s">
        <v>40</v>
      </c>
      <c r="J10" s="31" t="s">
        <v>46</v>
      </c>
      <c r="K10" s="32" t="s">
        <v>160</v>
      </c>
      <c r="L10" s="33" t="s">
        <v>141</v>
      </c>
      <c r="M10" s="34" t="s">
        <v>161</v>
      </c>
      <c r="N10" s="41" t="s">
        <v>151</v>
      </c>
      <c r="O10" s="36" t="s">
        <v>144</v>
      </c>
      <c r="P10" s="37">
        <v>12</v>
      </c>
      <c r="R10" s="2" t="s">
        <v>162</v>
      </c>
      <c r="S10" s="3">
        <f>COUNTIFS($C$6:$C$41,"*Circle - Reverse*",$O$6:$O$41,"&lt;&gt;")</f>
        <v>0</v>
      </c>
      <c r="T10" s="38">
        <f>COUNTIFS($C$6:$C$41,"*Circle - Reverse*",$O$6:$O$41,"✓")</f>
        <v>0</v>
      </c>
      <c r="U10" s="39">
        <f>COUNTIFS($C$6:$C$41,"*Circle - Reverse*",$O$6:$O$41,"✗")</f>
        <v>0</v>
      </c>
      <c r="V10" s="40" t="str">
        <f>IF((T10+U10)=0,"-",T10/(T10+U10))</f>
        <v>-</v>
      </c>
      <c r="W10" s="3" t="str">
        <f>IF(V10="-","⏳ Not Used",IF(V10&gt;=0.6,"🔥 HOT",IF(V10&lt;=0.4,"❄️ COLD","✅ OK")))</f>
        <v>⏳ Not Used</v>
      </c>
    </row>
    <row r="11" spans="1:23" ht="15" customHeight="1" x14ac:dyDescent="0.2">
      <c r="A11" s="96" t="s">
        <v>163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O11" s="26"/>
      <c r="P11" s="26"/>
      <c r="R11" s="2" t="s">
        <v>48</v>
      </c>
      <c r="S11" s="3">
        <f>COUNTIFS($C$6:$C$41,"*Eagle*",$O$6:$O$41,"&lt;&gt;")</f>
        <v>0</v>
      </c>
      <c r="T11" s="38">
        <f>COUNTIFS($C$6:$C$41,"*Eagle*",$O$6:$O$41,"✓")</f>
        <v>0</v>
      </c>
      <c r="U11" s="39">
        <f>COUNTIFS($C$6:$C$41,"*Eagle*",$O$6:$O$41,"✗")</f>
        <v>0</v>
      </c>
      <c r="V11" s="40" t="str">
        <f>IF((T11+U11)=0,"-",T11/(T11+U11))</f>
        <v>-</v>
      </c>
      <c r="W11" s="3" t="str">
        <f>IF(V11="-","⏳ Not Used",IF(V11&gt;=0.6,"🔥 HOT",IF(V11&lt;=0.4,"❄️ COLD","✅ OK")))</f>
        <v>⏳ Not Used</v>
      </c>
    </row>
    <row r="12" spans="1:23" ht="60" customHeight="1" x14ac:dyDescent="0.2">
      <c r="A12" s="31">
        <v>6</v>
      </c>
      <c r="B12" s="79" t="s">
        <v>138</v>
      </c>
      <c r="C12" s="84" t="s">
        <v>77</v>
      </c>
      <c r="D12" s="31" t="s">
        <v>164</v>
      </c>
      <c r="E12" s="31" t="s">
        <v>35</v>
      </c>
      <c r="F12" s="31" t="s">
        <v>36</v>
      </c>
      <c r="G12" s="31" t="s">
        <v>39</v>
      </c>
      <c r="H12" s="31" t="s">
        <v>46</v>
      </c>
      <c r="I12" s="31" t="s">
        <v>44</v>
      </c>
      <c r="J12" s="31" t="s">
        <v>35</v>
      </c>
      <c r="K12" s="42" t="s">
        <v>165</v>
      </c>
      <c r="L12" s="43" t="s">
        <v>166</v>
      </c>
      <c r="M12" s="34" t="s">
        <v>167</v>
      </c>
      <c r="N12" s="44" t="s">
        <v>168</v>
      </c>
      <c r="O12" s="36" t="s">
        <v>157</v>
      </c>
      <c r="P12" s="37">
        <v>-2</v>
      </c>
      <c r="R12" s="2" t="s">
        <v>49</v>
      </c>
      <c r="S12" s="3">
        <f>COUNTIFS($C$6:$C$41,"*Sweep*",$O$6:$O$41,"&lt;&gt;")</f>
        <v>0</v>
      </c>
      <c r="T12" s="38">
        <f>COUNTIFS($C$6:$C$41,"*Sweep*",$O$6:$O$41,"✓")</f>
        <v>0</v>
      </c>
      <c r="U12" s="39">
        <f>COUNTIFS($C$6:$C$41,"*Sweep*",$O$6:$O$41,"✗")</f>
        <v>0</v>
      </c>
      <c r="V12" s="40" t="str">
        <f>IF((T12+U12)=0,"-",T12/(T12+U12))</f>
        <v>-</v>
      </c>
      <c r="W12" s="3" t="str">
        <f>IF(V12="-","⏳ Not Used",IF(V12&gt;=0.6,"🔥 HOT",IF(V12&lt;=0.4,"❄️ COLD","✅ OK")))</f>
        <v>⏳ Not Used</v>
      </c>
    </row>
    <row r="13" spans="1:23" ht="60" customHeight="1" x14ac:dyDescent="0.2">
      <c r="A13" s="31">
        <v>7</v>
      </c>
      <c r="B13" s="79" t="s">
        <v>138</v>
      </c>
      <c r="C13" s="84" t="s">
        <v>77</v>
      </c>
      <c r="D13" s="31" t="s">
        <v>164</v>
      </c>
      <c r="E13" s="31" t="s">
        <v>43</v>
      </c>
      <c r="F13" s="31" t="s">
        <v>36</v>
      </c>
      <c r="G13" s="31" t="s">
        <v>39</v>
      </c>
      <c r="H13" s="31" t="s">
        <v>46</v>
      </c>
      <c r="I13" s="31" t="s">
        <v>44</v>
      </c>
      <c r="J13" s="31" t="s">
        <v>46</v>
      </c>
      <c r="K13" s="42" t="s">
        <v>169</v>
      </c>
      <c r="L13" s="43" t="s">
        <v>166</v>
      </c>
      <c r="M13" s="34" t="s">
        <v>170</v>
      </c>
      <c r="N13" s="44" t="s">
        <v>168</v>
      </c>
      <c r="O13" s="36"/>
      <c r="P13" s="37"/>
      <c r="R13" s="2" t="s">
        <v>50</v>
      </c>
      <c r="S13" s="3">
        <f>COUNTIFS($C$6:$C$41,"*Cross*",$O$6:$O$41,"&lt;&gt;")</f>
        <v>0</v>
      </c>
      <c r="T13" s="38">
        <f>COUNTIFS($C$6:$C$41,"*Cross*",$O$6:$O$41,"✓")</f>
        <v>0</v>
      </c>
      <c r="U13" s="39">
        <f>COUNTIFS($C$6:$C$41,"*Cross*",$O$6:$O$41,"✗")</f>
        <v>0</v>
      </c>
      <c r="V13" s="40" t="str">
        <f>IF((T13+U13)=0,"-",T13/(T13+U13))</f>
        <v>-</v>
      </c>
      <c r="W13" s="3" t="str">
        <f>IF(V13="-","⏳ Not Used",IF(V13&gt;=0.6,"🔥 HOT",IF(V13&lt;=0.4,"❄️ COLD","✅ OK")))</f>
        <v>⏳ Not Used</v>
      </c>
    </row>
    <row r="14" spans="1:23" ht="60" customHeight="1" x14ac:dyDescent="0.2">
      <c r="A14" s="31">
        <v>8</v>
      </c>
      <c r="B14" s="79" t="s">
        <v>138</v>
      </c>
      <c r="C14" s="84" t="s">
        <v>78</v>
      </c>
      <c r="D14" s="31" t="s">
        <v>171</v>
      </c>
      <c r="E14" s="31" t="s">
        <v>35</v>
      </c>
      <c r="F14" s="31" t="s">
        <v>36</v>
      </c>
      <c r="G14" s="31" t="s">
        <v>39</v>
      </c>
      <c r="H14" s="31" t="s">
        <v>46</v>
      </c>
      <c r="I14" s="31" t="s">
        <v>37</v>
      </c>
      <c r="J14" s="31" t="s">
        <v>36</v>
      </c>
      <c r="K14" s="32" t="s">
        <v>172</v>
      </c>
      <c r="L14" s="33" t="s">
        <v>141</v>
      </c>
      <c r="M14" s="34" t="s">
        <v>173</v>
      </c>
      <c r="N14" s="45" t="s">
        <v>174</v>
      </c>
      <c r="O14" s="36"/>
      <c r="P14" s="37"/>
      <c r="R14" s="2" t="s">
        <v>175</v>
      </c>
      <c r="S14" s="3">
        <f>COUNTIFS($C$6:$C$41,"*Airplane*",$O$6:$O$41,"&lt;&gt;")</f>
        <v>0</v>
      </c>
      <c r="T14" s="38">
        <f>COUNTIFS($C$6:$C$41,"*Airplane*",$O$6:$O$41,"✓")</f>
        <v>0</v>
      </c>
      <c r="U14" s="39">
        <f>COUNTIFS($C$6:$C$41,"*Airplane*",$O$6:$O$41,"✗")</f>
        <v>0</v>
      </c>
      <c r="V14" s="40" t="str">
        <f>IF((T14+U14)=0,"-",T14/(T14+U14))</f>
        <v>-</v>
      </c>
      <c r="W14" s="3" t="str">
        <f>IF(V14="-","⏳ Not Used",IF(V14&gt;=0.6,"🔥 HOT",IF(V14&lt;=0.4,"❄️ COLD","✅ OK")))</f>
        <v>⏳ Not Used</v>
      </c>
    </row>
    <row r="15" spans="1:23" ht="60" customHeight="1" x14ac:dyDescent="0.2">
      <c r="A15" s="31">
        <v>9</v>
      </c>
      <c r="B15" s="79" t="s">
        <v>138</v>
      </c>
      <c r="C15" s="84" t="s">
        <v>80</v>
      </c>
      <c r="D15" s="31" t="s">
        <v>176</v>
      </c>
      <c r="E15" s="31" t="s">
        <v>43</v>
      </c>
      <c r="F15" s="31" t="s">
        <v>36</v>
      </c>
      <c r="G15" s="31" t="s">
        <v>39</v>
      </c>
      <c r="H15" s="31" t="s">
        <v>46</v>
      </c>
      <c r="I15" s="31" t="s">
        <v>37</v>
      </c>
      <c r="J15" s="31" t="s">
        <v>35</v>
      </c>
      <c r="K15" s="42" t="s">
        <v>177</v>
      </c>
      <c r="L15" s="43" t="s">
        <v>166</v>
      </c>
      <c r="M15" s="34" t="s">
        <v>178</v>
      </c>
      <c r="N15" s="46" t="s">
        <v>179</v>
      </c>
      <c r="O15" s="36"/>
      <c r="P15" s="37"/>
    </row>
    <row r="16" spans="1:23" ht="15" customHeight="1" x14ac:dyDescent="0.2">
      <c r="A16" s="96" t="s">
        <v>180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O16" s="26"/>
      <c r="P16" s="26"/>
      <c r="R16" s="93" t="s">
        <v>181</v>
      </c>
      <c r="S16" s="88"/>
      <c r="T16" s="88"/>
      <c r="U16" s="88"/>
      <c r="V16" s="88"/>
      <c r="W16" s="88"/>
    </row>
    <row r="17" spans="1:23" ht="60" customHeight="1" x14ac:dyDescent="0.2">
      <c r="A17" s="31">
        <v>10</v>
      </c>
      <c r="B17" s="79" t="s">
        <v>138</v>
      </c>
      <c r="C17" s="84" t="s">
        <v>48</v>
      </c>
      <c r="D17" s="31" t="s">
        <v>182</v>
      </c>
      <c r="E17" s="31" t="s">
        <v>43</v>
      </c>
      <c r="F17" s="31" t="s">
        <v>45</v>
      </c>
      <c r="G17" s="31" t="s">
        <v>40</v>
      </c>
      <c r="H17" s="31" t="s">
        <v>46</v>
      </c>
      <c r="I17" s="31" t="s">
        <v>44</v>
      </c>
      <c r="J17" s="31" t="s">
        <v>35</v>
      </c>
      <c r="K17" s="32" t="s">
        <v>183</v>
      </c>
      <c r="L17" s="33" t="s">
        <v>141</v>
      </c>
      <c r="M17" s="34" t="s">
        <v>184</v>
      </c>
      <c r="N17" s="41" t="s">
        <v>185</v>
      </c>
      <c r="O17" s="36"/>
      <c r="P17" s="37"/>
      <c r="R17" s="47" t="s">
        <v>186</v>
      </c>
      <c r="S17" s="48" t="s">
        <v>187</v>
      </c>
      <c r="T17" s="47" t="s">
        <v>188</v>
      </c>
      <c r="U17" s="101" t="s">
        <v>189</v>
      </c>
      <c r="V17" s="102"/>
      <c r="W17" s="103"/>
    </row>
    <row r="18" spans="1:23" ht="60" customHeight="1" x14ac:dyDescent="0.2">
      <c r="A18" s="31">
        <v>11</v>
      </c>
      <c r="B18" s="79" t="s">
        <v>138</v>
      </c>
      <c r="C18" s="84" t="s">
        <v>48</v>
      </c>
      <c r="D18" s="31" t="s">
        <v>190</v>
      </c>
      <c r="E18" s="31" t="s">
        <v>43</v>
      </c>
      <c r="F18" s="31" t="s">
        <v>36</v>
      </c>
      <c r="G18" s="31" t="s">
        <v>40</v>
      </c>
      <c r="H18" s="31" t="s">
        <v>45</v>
      </c>
      <c r="I18" s="31" t="s">
        <v>44</v>
      </c>
      <c r="J18" s="31" t="s">
        <v>46</v>
      </c>
      <c r="K18" s="32" t="s">
        <v>140</v>
      </c>
      <c r="L18" s="33" t="s">
        <v>141</v>
      </c>
      <c r="M18" s="34" t="s">
        <v>191</v>
      </c>
      <c r="N18" s="41" t="s">
        <v>185</v>
      </c>
      <c r="O18" s="36"/>
      <c r="P18" s="37"/>
      <c r="R18" s="47" t="s">
        <v>192</v>
      </c>
      <c r="S18" s="101" t="s">
        <v>193</v>
      </c>
      <c r="T18" s="102"/>
      <c r="U18" s="102"/>
      <c r="V18" s="102"/>
      <c r="W18" s="103"/>
    </row>
    <row r="19" spans="1:23" ht="60" customHeight="1" x14ac:dyDescent="0.2">
      <c r="A19" s="31">
        <v>12</v>
      </c>
      <c r="B19" s="79" t="s">
        <v>138</v>
      </c>
      <c r="C19" s="84" t="s">
        <v>49</v>
      </c>
      <c r="D19" s="31" t="s">
        <v>194</v>
      </c>
      <c r="E19" s="31" t="s">
        <v>35</v>
      </c>
      <c r="F19" s="31" t="s">
        <v>36</v>
      </c>
      <c r="G19" s="31" t="s">
        <v>40</v>
      </c>
      <c r="H19" s="31" t="s">
        <v>45</v>
      </c>
      <c r="I19" s="31" t="s">
        <v>44</v>
      </c>
      <c r="J19" s="31" t="s">
        <v>46</v>
      </c>
      <c r="K19" s="42" t="s">
        <v>195</v>
      </c>
      <c r="L19" s="43" t="s">
        <v>166</v>
      </c>
      <c r="M19" s="34" t="s">
        <v>196</v>
      </c>
      <c r="N19" s="44" t="s">
        <v>168</v>
      </c>
      <c r="O19" s="36"/>
      <c r="P19" s="37"/>
    </row>
    <row r="20" spans="1:23" ht="60" customHeight="1" x14ac:dyDescent="0.2">
      <c r="A20" s="31">
        <v>13</v>
      </c>
      <c r="B20" s="79" t="s">
        <v>138</v>
      </c>
      <c r="C20" s="84" t="s">
        <v>48</v>
      </c>
      <c r="D20" s="31" t="s">
        <v>197</v>
      </c>
      <c r="E20" s="31" t="s">
        <v>35</v>
      </c>
      <c r="F20" s="31" t="s">
        <v>36</v>
      </c>
      <c r="G20" s="31" t="s">
        <v>40</v>
      </c>
      <c r="H20" s="31" t="s">
        <v>45</v>
      </c>
      <c r="I20" s="31" t="s">
        <v>39</v>
      </c>
      <c r="J20" s="31" t="s">
        <v>46</v>
      </c>
      <c r="K20" s="32" t="s">
        <v>140</v>
      </c>
      <c r="L20" s="33" t="s">
        <v>141</v>
      </c>
      <c r="M20" s="34" t="s">
        <v>198</v>
      </c>
      <c r="N20" s="41" t="s">
        <v>185</v>
      </c>
      <c r="O20" s="36"/>
      <c r="P20" s="37"/>
      <c r="R20" s="105" t="s">
        <v>199</v>
      </c>
      <c r="S20" s="88"/>
      <c r="T20" s="88"/>
      <c r="U20" s="88"/>
      <c r="V20" s="88"/>
      <c r="W20" s="88"/>
    </row>
    <row r="21" spans="1:23" ht="60" customHeight="1" x14ac:dyDescent="0.2">
      <c r="A21" s="31">
        <v>14</v>
      </c>
      <c r="B21" s="79" t="s">
        <v>138</v>
      </c>
      <c r="C21" s="84" t="s">
        <v>50</v>
      </c>
      <c r="D21" s="31" t="s">
        <v>200</v>
      </c>
      <c r="E21" s="31" t="s">
        <v>35</v>
      </c>
      <c r="F21" s="31" t="s">
        <v>36</v>
      </c>
      <c r="G21" s="31" t="s">
        <v>39</v>
      </c>
      <c r="H21" s="31" t="s">
        <v>45</v>
      </c>
      <c r="I21" s="31" t="s">
        <v>44</v>
      </c>
      <c r="J21" s="31" t="s">
        <v>46</v>
      </c>
      <c r="K21" s="32" t="s">
        <v>169</v>
      </c>
      <c r="L21" s="33" t="s">
        <v>141</v>
      </c>
      <c r="M21" s="34" t="s">
        <v>201</v>
      </c>
      <c r="N21" s="41" t="s">
        <v>202</v>
      </c>
      <c r="O21" s="36"/>
      <c r="P21" s="37"/>
      <c r="R21" s="117" t="s">
        <v>203</v>
      </c>
      <c r="S21" s="88"/>
      <c r="T21" s="127" t="str">
        <f>IF(COUNTIF(W6:W14,"*HOT*")=0,"None yet - keep tracking!",IF(ISNUMBER(SEARCH("HOT",W6)),R6&amp;" ","")&amp;IF(ISNUMBER(SEARCH("HOT",W7)),R7&amp;" ","")&amp;IF(ISNUMBER(SEARCH("HOT",W8)),R8&amp;" ","")&amp;IF(ISNUMBER(SEARCH("HOT",W9)),R9&amp;" ","")&amp;IF(ISNUMBER(SEARCH("HOT",W10)),R10&amp;" ","")&amp;IF(ISNUMBER(SEARCH("HOT",W11)),R11&amp;" ","")&amp;IF(ISNUMBER(SEARCH("HOT",W12)),R12&amp;" ","")&amp;IF(ISNUMBER(SEARCH("HOT",W13)),R13&amp;" ","")&amp;IF(ISNUMBER(SEARCH("HOT",W14)),R14&amp;" ",""))</f>
        <v>None yet - keep tracking!</v>
      </c>
      <c r="U21" s="88"/>
      <c r="V21" s="88"/>
      <c r="W21" s="88"/>
    </row>
    <row r="22" spans="1:23" ht="15" customHeight="1" x14ac:dyDescent="0.2">
      <c r="A22" s="96" t="s">
        <v>204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O22" s="26"/>
      <c r="P22" s="26"/>
      <c r="R22" s="124" t="s">
        <v>205</v>
      </c>
      <c r="S22" s="88"/>
      <c r="T22" s="97" t="str">
        <f>IF(COUNTIF(W6:W14,"*COLD*")=0,"Nothing cold yet!",IF(ISNUMBER(SEARCH("COLD",W6)),R6&amp;" ","")&amp;IF(ISNUMBER(SEARCH("COLD",W7)),R7&amp;" ","")&amp;IF(ISNUMBER(SEARCH("COLD",W8)),R8&amp;" ","")&amp;IF(ISNUMBER(SEARCH("COLD",W9)),R9&amp;" ","")&amp;IF(ISNUMBER(SEARCH("COLD",W10)),R10&amp;" ","")&amp;IF(ISNUMBER(SEARCH("COLD",W11)),R11&amp;" ","")&amp;IF(ISNUMBER(SEARCH("COLD",W12)),R12&amp;" ","")&amp;IF(ISNUMBER(SEARCH("COLD",W13)),R13&amp;" ","")&amp;IF(ISNUMBER(SEARCH("COLD",W14)),R14&amp;" ",""))</f>
        <v>Nothing cold yet!</v>
      </c>
      <c r="U22" s="88"/>
      <c r="V22" s="88"/>
      <c r="W22" s="88"/>
    </row>
    <row r="23" spans="1:23" ht="60" customHeight="1" x14ac:dyDescent="0.2">
      <c r="A23" s="31">
        <v>15</v>
      </c>
      <c r="B23" s="79" t="s">
        <v>138</v>
      </c>
      <c r="C23" s="84" t="s">
        <v>79</v>
      </c>
      <c r="D23" s="31" t="s">
        <v>206</v>
      </c>
      <c r="E23" s="31" t="s">
        <v>43</v>
      </c>
      <c r="F23" s="31" t="s">
        <v>45</v>
      </c>
      <c r="G23" s="31" t="s">
        <v>40</v>
      </c>
      <c r="H23" s="31" t="s">
        <v>44</v>
      </c>
      <c r="I23" s="31" t="s">
        <v>39</v>
      </c>
      <c r="J23" s="31" t="s">
        <v>36</v>
      </c>
      <c r="K23" s="32" t="s">
        <v>207</v>
      </c>
      <c r="L23" s="33" t="s">
        <v>141</v>
      </c>
      <c r="M23" s="34" t="s">
        <v>208</v>
      </c>
      <c r="N23" s="45" t="s">
        <v>209</v>
      </c>
      <c r="O23" s="36"/>
      <c r="P23" s="37"/>
    </row>
    <row r="24" spans="1:23" ht="60" customHeight="1" x14ac:dyDescent="0.2">
      <c r="A24" s="31">
        <v>16</v>
      </c>
      <c r="B24" s="79" t="s">
        <v>138</v>
      </c>
      <c r="C24" s="84" t="s">
        <v>79</v>
      </c>
      <c r="D24" s="31" t="s">
        <v>210</v>
      </c>
      <c r="E24" s="31" t="s">
        <v>43</v>
      </c>
      <c r="F24" s="31" t="s">
        <v>36</v>
      </c>
      <c r="G24" s="31" t="s">
        <v>40</v>
      </c>
      <c r="H24" s="31" t="s">
        <v>44</v>
      </c>
      <c r="I24" s="31" t="s">
        <v>39</v>
      </c>
      <c r="J24" s="31" t="s">
        <v>46</v>
      </c>
      <c r="K24" s="32" t="s">
        <v>211</v>
      </c>
      <c r="L24" s="33" t="s">
        <v>141</v>
      </c>
      <c r="M24" s="34" t="s">
        <v>212</v>
      </c>
      <c r="N24" s="45" t="s">
        <v>209</v>
      </c>
      <c r="O24" s="36"/>
      <c r="P24" s="37"/>
      <c r="R24" s="94" t="s">
        <v>213</v>
      </c>
      <c r="S24" s="88"/>
      <c r="T24" s="88"/>
      <c r="U24" s="88"/>
      <c r="V24" s="88"/>
      <c r="W24" s="88"/>
    </row>
    <row r="25" spans="1:23" ht="60" customHeight="1" x14ac:dyDescent="0.2">
      <c r="A25" s="31">
        <v>17</v>
      </c>
      <c r="B25" s="79" t="s">
        <v>138</v>
      </c>
      <c r="C25" s="84" t="s">
        <v>34</v>
      </c>
      <c r="D25" s="31" t="s">
        <v>214</v>
      </c>
      <c r="E25" s="31" t="s">
        <v>35</v>
      </c>
      <c r="F25" s="31" t="s">
        <v>36</v>
      </c>
      <c r="G25" s="31" t="s">
        <v>39</v>
      </c>
      <c r="H25" s="31" t="s">
        <v>37</v>
      </c>
      <c r="I25" s="31" t="s">
        <v>40</v>
      </c>
      <c r="J25" s="31" t="s">
        <v>46</v>
      </c>
      <c r="K25" s="32" t="s">
        <v>154</v>
      </c>
      <c r="L25" s="33" t="s">
        <v>141</v>
      </c>
      <c r="M25" s="34" t="s">
        <v>215</v>
      </c>
      <c r="N25" s="35" t="s">
        <v>156</v>
      </c>
      <c r="O25" s="36"/>
      <c r="P25" s="37"/>
      <c r="R25" s="100" t="s">
        <v>216</v>
      </c>
      <c r="S25" s="88"/>
      <c r="T25" s="120" t="s">
        <v>217</v>
      </c>
      <c r="U25" s="88"/>
      <c r="V25" s="88"/>
      <c r="W25" s="88"/>
    </row>
    <row r="26" spans="1:23" ht="60" customHeight="1" x14ac:dyDescent="0.2">
      <c r="A26" s="31">
        <v>18</v>
      </c>
      <c r="B26" s="79" t="s">
        <v>138</v>
      </c>
      <c r="C26" s="84" t="s">
        <v>79</v>
      </c>
      <c r="D26" s="31" t="s">
        <v>218</v>
      </c>
      <c r="E26" s="31" t="s">
        <v>35</v>
      </c>
      <c r="F26" s="31" t="s">
        <v>36</v>
      </c>
      <c r="G26" s="31" t="s">
        <v>39</v>
      </c>
      <c r="H26" s="31" t="s">
        <v>37</v>
      </c>
      <c r="I26" s="31" t="s">
        <v>40</v>
      </c>
      <c r="J26" s="31" t="s">
        <v>46</v>
      </c>
      <c r="K26" s="32" t="s">
        <v>177</v>
      </c>
      <c r="L26" s="33" t="s">
        <v>141</v>
      </c>
      <c r="M26" s="34" t="s">
        <v>219</v>
      </c>
      <c r="N26" s="45" t="s">
        <v>209</v>
      </c>
      <c r="O26" s="36"/>
      <c r="P26" s="37"/>
      <c r="R26" s="100" t="s">
        <v>220</v>
      </c>
      <c r="S26" s="88"/>
      <c r="T26" s="126" t="s">
        <v>221</v>
      </c>
      <c r="U26" s="88"/>
      <c r="V26" s="88"/>
      <c r="W26" s="88"/>
    </row>
    <row r="27" spans="1:23" ht="15" customHeight="1" x14ac:dyDescent="0.2">
      <c r="A27" s="96" t="s">
        <v>222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O27" s="26"/>
      <c r="P27" s="26"/>
      <c r="R27" s="100" t="s">
        <v>223</v>
      </c>
      <c r="S27" s="88"/>
      <c r="T27" s="106" t="s">
        <v>224</v>
      </c>
      <c r="U27" s="88"/>
      <c r="V27" s="88"/>
      <c r="W27" s="88"/>
    </row>
    <row r="28" spans="1:23" ht="60" customHeight="1" x14ac:dyDescent="0.2">
      <c r="A28" s="31">
        <v>19</v>
      </c>
      <c r="B28" s="79" t="s">
        <v>138</v>
      </c>
      <c r="C28" s="84" t="s">
        <v>49</v>
      </c>
      <c r="D28" s="31" t="s">
        <v>225</v>
      </c>
      <c r="E28" s="31" t="s">
        <v>43</v>
      </c>
      <c r="F28" s="31" t="s">
        <v>36</v>
      </c>
      <c r="G28" s="31" t="s">
        <v>39</v>
      </c>
      <c r="H28" s="31" t="s">
        <v>46</v>
      </c>
      <c r="I28" s="31" t="s">
        <v>44</v>
      </c>
      <c r="J28" s="31" t="s">
        <v>45</v>
      </c>
      <c r="K28" s="42" t="s">
        <v>149</v>
      </c>
      <c r="L28" s="43" t="s">
        <v>166</v>
      </c>
      <c r="M28" s="34" t="s">
        <v>226</v>
      </c>
      <c r="N28" s="44" t="s">
        <v>168</v>
      </c>
      <c r="O28" s="36"/>
      <c r="P28" s="37"/>
      <c r="R28" s="100" t="s">
        <v>227</v>
      </c>
      <c r="S28" s="88"/>
      <c r="T28" s="104" t="s">
        <v>228</v>
      </c>
      <c r="U28" s="88"/>
      <c r="V28" s="88"/>
      <c r="W28" s="88"/>
    </row>
    <row r="29" spans="1:23" ht="60" customHeight="1" x14ac:dyDescent="0.2">
      <c r="A29" s="31">
        <v>20</v>
      </c>
      <c r="B29" s="79" t="s">
        <v>138</v>
      </c>
      <c r="C29" s="84" t="s">
        <v>49</v>
      </c>
      <c r="D29" s="31" t="s">
        <v>229</v>
      </c>
      <c r="E29" s="31" t="s">
        <v>43</v>
      </c>
      <c r="F29" s="31" t="s">
        <v>45</v>
      </c>
      <c r="G29" s="31" t="s">
        <v>40</v>
      </c>
      <c r="H29" s="31" t="s">
        <v>37</v>
      </c>
      <c r="I29" s="31" t="s">
        <v>44</v>
      </c>
      <c r="J29" s="31" t="s">
        <v>46</v>
      </c>
      <c r="K29" s="42" t="s">
        <v>195</v>
      </c>
      <c r="L29" s="43" t="s">
        <v>166</v>
      </c>
      <c r="M29" s="34" t="s">
        <v>230</v>
      </c>
      <c r="N29" s="44" t="s">
        <v>168</v>
      </c>
      <c r="O29" s="36"/>
      <c r="P29" s="37"/>
    </row>
    <row r="30" spans="1:23" ht="60" customHeight="1" x14ac:dyDescent="0.2">
      <c r="A30" s="31">
        <v>21</v>
      </c>
      <c r="B30" s="79" t="s">
        <v>138</v>
      </c>
      <c r="C30" s="84" t="s">
        <v>80</v>
      </c>
      <c r="D30" s="31" t="s">
        <v>231</v>
      </c>
      <c r="E30" s="31" t="s">
        <v>35</v>
      </c>
      <c r="F30" s="31" t="s">
        <v>36</v>
      </c>
      <c r="G30" s="31" t="s">
        <v>39</v>
      </c>
      <c r="H30" s="31" t="s">
        <v>45</v>
      </c>
      <c r="I30" s="31" t="s">
        <v>44</v>
      </c>
      <c r="J30" s="31" t="s">
        <v>46</v>
      </c>
      <c r="K30" s="42" t="s">
        <v>177</v>
      </c>
      <c r="L30" s="43" t="s">
        <v>166</v>
      </c>
      <c r="M30" s="34" t="s">
        <v>232</v>
      </c>
      <c r="N30" s="46" t="s">
        <v>179</v>
      </c>
      <c r="O30" s="36"/>
      <c r="P30" s="37"/>
      <c r="R30" s="95" t="s">
        <v>233</v>
      </c>
      <c r="S30" s="88"/>
      <c r="T30" s="88"/>
      <c r="U30" s="88"/>
      <c r="V30" s="88"/>
      <c r="W30" s="88"/>
    </row>
    <row r="31" spans="1:23" ht="60" customHeight="1" x14ac:dyDescent="0.2">
      <c r="A31" s="31">
        <v>22</v>
      </c>
      <c r="B31" s="79" t="s">
        <v>138</v>
      </c>
      <c r="C31" s="84" t="s">
        <v>41</v>
      </c>
      <c r="D31" s="31" t="s">
        <v>234</v>
      </c>
      <c r="E31" s="31" t="s">
        <v>35</v>
      </c>
      <c r="F31" s="31" t="s">
        <v>36</v>
      </c>
      <c r="G31" s="31" t="s">
        <v>40</v>
      </c>
      <c r="H31" s="31" t="s">
        <v>37</v>
      </c>
      <c r="I31" s="31" t="s">
        <v>44</v>
      </c>
      <c r="J31" s="31" t="s">
        <v>45</v>
      </c>
      <c r="K31" s="32" t="s">
        <v>149</v>
      </c>
      <c r="L31" s="33" t="s">
        <v>141</v>
      </c>
      <c r="M31" s="34" t="s">
        <v>235</v>
      </c>
      <c r="N31" s="41" t="s">
        <v>151</v>
      </c>
      <c r="O31" s="36"/>
      <c r="P31" s="37"/>
      <c r="R31" s="82" t="s">
        <v>236</v>
      </c>
      <c r="S31" s="49">
        <f>COUNTIF(O6:O41,"&lt;&gt;")</f>
        <v>6</v>
      </c>
      <c r="T31" s="82" t="s">
        <v>237</v>
      </c>
      <c r="U31" s="50">
        <f>COUNTIF(O6:O41,"✓")</f>
        <v>0</v>
      </c>
      <c r="V31" s="82" t="s">
        <v>238</v>
      </c>
      <c r="W31" s="51">
        <f>COUNTIF(O6:O41,"✗")</f>
        <v>0</v>
      </c>
    </row>
    <row r="32" spans="1:23" ht="60" customHeight="1" x14ac:dyDescent="0.25">
      <c r="A32" s="31">
        <v>23</v>
      </c>
      <c r="B32" s="79" t="s">
        <v>138</v>
      </c>
      <c r="C32" s="84" t="s">
        <v>34</v>
      </c>
      <c r="D32" s="31" t="s">
        <v>239</v>
      </c>
      <c r="E32" s="31" t="s">
        <v>43</v>
      </c>
      <c r="F32" s="31" t="s">
        <v>36</v>
      </c>
      <c r="G32" s="31" t="s">
        <v>40</v>
      </c>
      <c r="H32" s="31" t="s">
        <v>45</v>
      </c>
      <c r="I32" s="31" t="s">
        <v>37</v>
      </c>
      <c r="J32" s="31" t="s">
        <v>46</v>
      </c>
      <c r="K32" s="32" t="s">
        <v>169</v>
      </c>
      <c r="L32" s="33" t="s">
        <v>141</v>
      </c>
      <c r="M32" s="34" t="s">
        <v>240</v>
      </c>
      <c r="N32" s="35" t="s">
        <v>156</v>
      </c>
      <c r="O32" s="36"/>
      <c r="P32" s="37"/>
      <c r="R32" s="82" t="s">
        <v>241</v>
      </c>
      <c r="S32" s="129" t="str">
        <f>IF(COUNTIF(O6:O41,"✓")+COUNTIF(O6:O41,"✗")=0,"--",COUNTIF(O6:O41,"✓")/(COUNTIF(O6:O41,"✓")+COUNTIF(O6:O41,"✗")))</f>
        <v>--</v>
      </c>
      <c r="T32" s="88"/>
      <c r="U32" s="82" t="s">
        <v>242</v>
      </c>
      <c r="V32" s="119">
        <f>SUMPRODUCT((ISNUMBER(P6:P41))*(P6:P41))</f>
        <v>40</v>
      </c>
      <c r="W32" s="88"/>
    </row>
    <row r="33" spans="1:23" ht="15" customHeight="1" x14ac:dyDescent="0.25">
      <c r="A33" s="96" t="s">
        <v>243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O33" s="26"/>
      <c r="P33" s="26"/>
      <c r="U33" s="52" t="s">
        <v>244</v>
      </c>
      <c r="V33" s="98">
        <f>COUNTIF(P6:P41,"TD")</f>
        <v>0</v>
      </c>
      <c r="W33" s="88"/>
    </row>
    <row r="34" spans="1:23" ht="60" customHeight="1" x14ac:dyDescent="0.2">
      <c r="A34" s="31">
        <v>24</v>
      </c>
      <c r="B34" s="79" t="s">
        <v>138</v>
      </c>
      <c r="C34" s="84" t="s">
        <v>50</v>
      </c>
      <c r="D34" s="31" t="s">
        <v>245</v>
      </c>
      <c r="E34" s="31" t="s">
        <v>35</v>
      </c>
      <c r="F34" s="31" t="s">
        <v>36</v>
      </c>
      <c r="G34" s="31" t="s">
        <v>40</v>
      </c>
      <c r="H34" s="31" t="s">
        <v>46</v>
      </c>
      <c r="I34" s="31" t="s">
        <v>44</v>
      </c>
      <c r="J34" s="31" t="s">
        <v>35</v>
      </c>
      <c r="K34" s="32" t="s">
        <v>165</v>
      </c>
      <c r="L34" s="33" t="s">
        <v>141</v>
      </c>
      <c r="M34" s="34" t="s">
        <v>246</v>
      </c>
      <c r="N34" s="41" t="s">
        <v>202</v>
      </c>
      <c r="O34" s="36"/>
      <c r="P34" s="37"/>
      <c r="R34" s="130" t="s">
        <v>247</v>
      </c>
      <c r="S34" s="131"/>
      <c r="T34" s="131"/>
      <c r="U34" s="131"/>
      <c r="V34" s="131"/>
      <c r="W34" s="132"/>
    </row>
    <row r="35" spans="1:23" ht="60" customHeight="1" x14ac:dyDescent="0.2">
      <c r="A35" s="31">
        <v>25</v>
      </c>
      <c r="B35" s="79" t="s">
        <v>138</v>
      </c>
      <c r="C35" s="84" t="s">
        <v>50</v>
      </c>
      <c r="D35" s="31" t="s">
        <v>248</v>
      </c>
      <c r="E35" s="31" t="s">
        <v>35</v>
      </c>
      <c r="F35" s="31" t="s">
        <v>45</v>
      </c>
      <c r="G35" s="31" t="s">
        <v>39</v>
      </c>
      <c r="H35" s="31" t="s">
        <v>37</v>
      </c>
      <c r="I35" s="31" t="s">
        <v>44</v>
      </c>
      <c r="J35" s="31" t="s">
        <v>36</v>
      </c>
      <c r="K35" s="32" t="s">
        <v>160</v>
      </c>
      <c r="L35" s="33" t="s">
        <v>141</v>
      </c>
      <c r="M35" s="34" t="s">
        <v>249</v>
      </c>
      <c r="N35" s="41" t="s">
        <v>202</v>
      </c>
      <c r="O35" s="36"/>
      <c r="P35" s="37"/>
      <c r="R35" s="109" t="str">
        <f>IF(S17="","← Select DOWN &amp; DISTANCE first",IF(U17="Short (1-3)","⚡ Short yardage: Try Sweep or Circle Run",IF(U17="Long (7+)","📍 Need chunk: Try Eagle, Tick Tock, or Cross",IF(U17="Goal Line","🎯 Goal line: Sweep or Circle Run for score","📋 Standard down: Check HOT plays above"))))</f>
        <v>📍 Need chunk: Try Eagle, Tick Tock, or Cross</v>
      </c>
      <c r="S35" s="110"/>
      <c r="T35" s="110"/>
      <c r="U35" s="110"/>
      <c r="V35" s="110"/>
      <c r="W35" s="111"/>
    </row>
    <row r="36" spans="1:23" ht="60" customHeight="1" x14ac:dyDescent="0.2">
      <c r="A36" s="31">
        <v>26</v>
      </c>
      <c r="B36" s="79" t="s">
        <v>138</v>
      </c>
      <c r="C36" s="84" t="s">
        <v>34</v>
      </c>
      <c r="D36" s="31" t="s">
        <v>250</v>
      </c>
      <c r="E36" s="31" t="s">
        <v>43</v>
      </c>
      <c r="F36" s="31" t="s">
        <v>36</v>
      </c>
      <c r="G36" s="31" t="s">
        <v>40</v>
      </c>
      <c r="H36" s="31" t="s">
        <v>37</v>
      </c>
      <c r="I36" s="31" t="s">
        <v>44</v>
      </c>
      <c r="J36" s="31" t="s">
        <v>46</v>
      </c>
      <c r="K36" s="32" t="s">
        <v>146</v>
      </c>
      <c r="L36" s="33" t="s">
        <v>141</v>
      </c>
      <c r="M36" s="34" t="s">
        <v>251</v>
      </c>
      <c r="N36" s="35" t="s">
        <v>252</v>
      </c>
      <c r="O36" s="36"/>
      <c r="P36" s="37"/>
      <c r="R36" s="112"/>
      <c r="S36" s="88"/>
      <c r="T36" s="88"/>
      <c r="U36" s="88"/>
      <c r="V36" s="88"/>
      <c r="W36" s="113"/>
    </row>
    <row r="37" spans="1:23" ht="60" customHeight="1" x14ac:dyDescent="0.2">
      <c r="A37" s="31">
        <v>27</v>
      </c>
      <c r="B37" s="79" t="s">
        <v>138</v>
      </c>
      <c r="C37" s="84" t="s">
        <v>50</v>
      </c>
      <c r="D37" s="31" t="s">
        <v>253</v>
      </c>
      <c r="E37" s="31" t="s">
        <v>43</v>
      </c>
      <c r="F37" s="31" t="s">
        <v>36</v>
      </c>
      <c r="G37" s="31" t="s">
        <v>39</v>
      </c>
      <c r="H37" s="31" t="s">
        <v>37</v>
      </c>
      <c r="I37" s="31" t="s">
        <v>44</v>
      </c>
      <c r="J37" s="31" t="s">
        <v>46</v>
      </c>
      <c r="K37" s="32" t="s">
        <v>195</v>
      </c>
      <c r="L37" s="33" t="s">
        <v>141</v>
      </c>
      <c r="M37" s="34" t="s">
        <v>254</v>
      </c>
      <c r="N37" s="45" t="s">
        <v>255</v>
      </c>
      <c r="O37" s="36"/>
      <c r="P37" s="37"/>
      <c r="R37" s="114"/>
      <c r="S37" s="115"/>
      <c r="T37" s="115"/>
      <c r="U37" s="115"/>
      <c r="V37" s="115"/>
      <c r="W37" s="116"/>
    </row>
    <row r="38" spans="1:23" ht="15" customHeight="1" x14ac:dyDescent="0.2">
      <c r="A38" s="96" t="s">
        <v>256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O38" s="26"/>
      <c r="P38" s="26"/>
    </row>
    <row r="39" spans="1:23" ht="60" customHeight="1" x14ac:dyDescent="0.2">
      <c r="A39" s="31">
        <v>28</v>
      </c>
      <c r="B39" s="79" t="s">
        <v>138</v>
      </c>
      <c r="C39" s="84" t="s">
        <v>78</v>
      </c>
      <c r="D39" s="31" t="s">
        <v>257</v>
      </c>
      <c r="E39" s="31" t="s">
        <v>35</v>
      </c>
      <c r="F39" s="31" t="s">
        <v>36</v>
      </c>
      <c r="G39" s="31" t="s">
        <v>40</v>
      </c>
      <c r="H39" s="31" t="s">
        <v>45</v>
      </c>
      <c r="I39" s="31" t="s">
        <v>39</v>
      </c>
      <c r="J39" s="31" t="s">
        <v>46</v>
      </c>
      <c r="K39" s="32" t="s">
        <v>140</v>
      </c>
      <c r="L39" s="33" t="s">
        <v>141</v>
      </c>
      <c r="M39" s="34" t="s">
        <v>258</v>
      </c>
      <c r="N39" s="35" t="s">
        <v>252</v>
      </c>
      <c r="O39" s="36"/>
      <c r="P39" s="37"/>
      <c r="R39" s="121" t="s">
        <v>259</v>
      </c>
      <c r="S39" s="88"/>
      <c r="T39" s="88"/>
      <c r="U39" s="88"/>
      <c r="V39" s="88"/>
      <c r="W39" s="88"/>
    </row>
    <row r="40" spans="1:23" ht="60" customHeight="1" x14ac:dyDescent="0.2">
      <c r="A40" s="31">
        <v>29</v>
      </c>
      <c r="B40" s="79" t="s">
        <v>138</v>
      </c>
      <c r="C40" s="84" t="s">
        <v>34</v>
      </c>
      <c r="D40" s="31" t="s">
        <v>260</v>
      </c>
      <c r="E40" s="31" t="s">
        <v>35</v>
      </c>
      <c r="F40" s="31" t="s">
        <v>36</v>
      </c>
      <c r="G40" s="31" t="s">
        <v>39</v>
      </c>
      <c r="H40" s="31" t="s">
        <v>45</v>
      </c>
      <c r="I40" s="31" t="s">
        <v>37</v>
      </c>
      <c r="J40" s="31" t="s">
        <v>46</v>
      </c>
      <c r="K40" s="32" t="s">
        <v>261</v>
      </c>
      <c r="L40" s="33" t="s">
        <v>141</v>
      </c>
      <c r="M40" s="34" t="s">
        <v>262</v>
      </c>
      <c r="N40" s="35" t="s">
        <v>156</v>
      </c>
      <c r="O40" s="36"/>
      <c r="P40" s="37"/>
      <c r="R40" s="108" t="s">
        <v>263</v>
      </c>
      <c r="S40" s="88"/>
      <c r="T40" s="88"/>
      <c r="U40" s="88"/>
      <c r="V40" s="88"/>
      <c r="W40" s="88"/>
    </row>
    <row r="41" spans="1:23" ht="60" customHeight="1" x14ac:dyDescent="0.2">
      <c r="A41" s="31">
        <v>30</v>
      </c>
      <c r="B41" s="79" t="s">
        <v>138</v>
      </c>
      <c r="C41" s="84" t="s">
        <v>48</v>
      </c>
      <c r="D41" s="31" t="s">
        <v>264</v>
      </c>
      <c r="E41" s="31" t="s">
        <v>43</v>
      </c>
      <c r="F41" s="31" t="s">
        <v>45</v>
      </c>
      <c r="G41" s="31" t="s">
        <v>39</v>
      </c>
      <c r="H41" s="31" t="s">
        <v>44</v>
      </c>
      <c r="I41" s="31" t="s">
        <v>37</v>
      </c>
      <c r="J41" s="31" t="s">
        <v>46</v>
      </c>
      <c r="K41" s="32" t="s">
        <v>207</v>
      </c>
      <c r="L41" s="33" t="s">
        <v>141</v>
      </c>
      <c r="M41" s="34" t="s">
        <v>265</v>
      </c>
      <c r="N41" s="45" t="s">
        <v>255</v>
      </c>
      <c r="O41" s="36"/>
      <c r="P41" s="37"/>
      <c r="R41" s="108" t="s">
        <v>266</v>
      </c>
      <c r="S41" s="88"/>
      <c r="T41" s="88"/>
      <c r="U41" s="88"/>
      <c r="V41" s="88"/>
      <c r="W41" s="88"/>
    </row>
    <row r="42" spans="1:23" ht="15" customHeight="1" x14ac:dyDescent="0.2">
      <c r="O42" s="26"/>
      <c r="P42" s="26"/>
      <c r="R42" s="108" t="s">
        <v>267</v>
      </c>
      <c r="S42" s="88"/>
      <c r="T42" s="88"/>
      <c r="U42" s="88"/>
      <c r="V42" s="88"/>
      <c r="W42" s="88"/>
    </row>
    <row r="43" spans="1:23" ht="15" customHeight="1" x14ac:dyDescent="0.2">
      <c r="O43" s="26"/>
      <c r="P43" s="26"/>
      <c r="R43" s="108" t="s">
        <v>268</v>
      </c>
      <c r="S43" s="88"/>
      <c r="T43" s="88"/>
      <c r="U43" s="88"/>
      <c r="V43" s="88"/>
      <c r="W43" s="88"/>
    </row>
    <row r="44" spans="1:23" ht="15" customHeight="1" x14ac:dyDescent="0.2">
      <c r="A44" s="107" t="s">
        <v>269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O44" s="26"/>
      <c r="P44" s="26"/>
      <c r="R44" s="123" t="s">
        <v>270</v>
      </c>
      <c r="S44" s="88"/>
      <c r="T44" s="88"/>
      <c r="U44" s="88"/>
      <c r="V44" s="88"/>
      <c r="W44" s="88"/>
    </row>
    <row r="45" spans="1:23" ht="15" customHeight="1" x14ac:dyDescent="0.2">
      <c r="A45" s="53" t="s">
        <v>271</v>
      </c>
      <c r="C45" s="54" t="s">
        <v>272</v>
      </c>
      <c r="O45" s="26"/>
      <c r="P45" s="26"/>
    </row>
    <row r="46" spans="1:23" ht="15" customHeight="1" x14ac:dyDescent="0.2">
      <c r="A46" s="82" t="s">
        <v>273</v>
      </c>
      <c r="C46" t="s">
        <v>274</v>
      </c>
      <c r="O46" s="26"/>
      <c r="P46" s="26"/>
    </row>
    <row r="47" spans="1:23" ht="15" customHeight="1" x14ac:dyDescent="0.2">
      <c r="A47" s="82" t="s">
        <v>275</v>
      </c>
      <c r="C47" t="s">
        <v>276</v>
      </c>
      <c r="O47" s="26"/>
      <c r="P47" s="26"/>
    </row>
    <row r="48" spans="1:23" ht="15" customHeight="1" x14ac:dyDescent="0.2">
      <c r="A48" s="82" t="s">
        <v>277</v>
      </c>
      <c r="C48" s="88" t="s">
        <v>278</v>
      </c>
      <c r="D48" s="88"/>
      <c r="E48" s="88"/>
      <c r="F48" s="88"/>
      <c r="G48" s="88"/>
      <c r="H48" s="88"/>
      <c r="I48" s="88"/>
      <c r="J48" s="88"/>
      <c r="K48" s="88"/>
      <c r="L48" s="88"/>
      <c r="M48" s="88"/>
      <c r="O48" s="26"/>
      <c r="P48" s="26"/>
    </row>
    <row r="49" spans="1:16" ht="15" customHeight="1" x14ac:dyDescent="0.2">
      <c r="O49" s="26"/>
      <c r="P49" s="26"/>
    </row>
    <row r="51" spans="1:16" ht="15" customHeight="1" x14ac:dyDescent="0.2">
      <c r="A51" s="99" t="s">
        <v>279</v>
      </c>
      <c r="B51" s="88"/>
      <c r="C51" s="88"/>
      <c r="D51" s="88"/>
      <c r="E51" s="88"/>
    </row>
    <row r="52" spans="1:16" ht="15" customHeight="1" x14ac:dyDescent="0.2">
      <c r="A52" s="55" t="s">
        <v>280</v>
      </c>
      <c r="B52" s="82" t="s">
        <v>281</v>
      </c>
      <c r="C52" s="88" t="s">
        <v>282</v>
      </c>
      <c r="D52" s="88"/>
      <c r="E52" s="88"/>
    </row>
    <row r="53" spans="1:16" ht="15" customHeight="1" x14ac:dyDescent="0.2">
      <c r="A53" s="56" t="s">
        <v>283</v>
      </c>
      <c r="B53" s="82" t="s">
        <v>284</v>
      </c>
      <c r="C53" s="88" t="s">
        <v>285</v>
      </c>
      <c r="D53" s="88"/>
      <c r="E53" s="88"/>
    </row>
    <row r="54" spans="1:16" ht="15" customHeight="1" x14ac:dyDescent="0.2">
      <c r="A54" s="57" t="s">
        <v>286</v>
      </c>
      <c r="B54" s="82" t="s">
        <v>287</v>
      </c>
      <c r="C54" s="88" t="s">
        <v>288</v>
      </c>
      <c r="D54" s="88"/>
      <c r="E54" s="88"/>
    </row>
    <row r="55" spans="1:16" ht="15" customHeight="1" x14ac:dyDescent="0.2">
      <c r="A55" s="58" t="s">
        <v>289</v>
      </c>
      <c r="B55" s="82" t="s">
        <v>290</v>
      </c>
      <c r="C55" s="88" t="s">
        <v>291</v>
      </c>
      <c r="D55" s="88"/>
      <c r="E55" s="88"/>
    </row>
    <row r="56" spans="1:16" ht="15" customHeight="1" x14ac:dyDescent="0.2">
      <c r="A56" s="59" t="s">
        <v>292</v>
      </c>
      <c r="B56" s="82" t="s">
        <v>293</v>
      </c>
      <c r="C56" s="88" t="s">
        <v>294</v>
      </c>
      <c r="D56" s="88"/>
      <c r="E56" s="88"/>
    </row>
  </sheetData>
  <sheetProtection sheet="1" objects="1"/>
  <mergeCells count="49">
    <mergeCell ref="R2:W2"/>
    <mergeCell ref="A1:M1"/>
    <mergeCell ref="C53:E53"/>
    <mergeCell ref="V32:W32"/>
    <mergeCell ref="T25:W25"/>
    <mergeCell ref="R39:W39"/>
    <mergeCell ref="R1:W1"/>
    <mergeCell ref="A16:M16"/>
    <mergeCell ref="R44:W44"/>
    <mergeCell ref="R22:S22"/>
    <mergeCell ref="C48:M48"/>
    <mergeCell ref="A2:M2"/>
    <mergeCell ref="A27:M27"/>
    <mergeCell ref="T26:W26"/>
    <mergeCell ref="T21:W21"/>
    <mergeCell ref="R4:W4"/>
    <mergeCell ref="C56:E56"/>
    <mergeCell ref="A38:M38"/>
    <mergeCell ref="S18:W18"/>
    <mergeCell ref="T28:W28"/>
    <mergeCell ref="R20:W20"/>
    <mergeCell ref="T27:W27"/>
    <mergeCell ref="A44:M44"/>
    <mergeCell ref="R42:W42"/>
    <mergeCell ref="R25:S25"/>
    <mergeCell ref="C52:E52"/>
    <mergeCell ref="R41:W41"/>
    <mergeCell ref="R35:W37"/>
    <mergeCell ref="R27:S27"/>
    <mergeCell ref="R21:S21"/>
    <mergeCell ref="R43:W43"/>
    <mergeCell ref="R26:S26"/>
    <mergeCell ref="C55:E55"/>
    <mergeCell ref="T22:W22"/>
    <mergeCell ref="A22:M22"/>
    <mergeCell ref="V33:W33"/>
    <mergeCell ref="A51:E51"/>
    <mergeCell ref="R28:S28"/>
    <mergeCell ref="S32:T32"/>
    <mergeCell ref="R40:W40"/>
    <mergeCell ref="A33:M33"/>
    <mergeCell ref="R34:W34"/>
    <mergeCell ref="C54:E54"/>
    <mergeCell ref="R16:W16"/>
    <mergeCell ref="R24:W24"/>
    <mergeCell ref="R30:W30"/>
    <mergeCell ref="A5:M5"/>
    <mergeCell ref="A11:M11"/>
    <mergeCell ref="U17:W17"/>
  </mergeCells>
  <conditionalFormatting sqref="O6:O41">
    <cfRule type="cellIs" dxfId="4" priority="4" operator="equal">
      <formula>"✓"</formula>
    </cfRule>
    <cfRule type="cellIs" dxfId="3" priority="5" operator="equal">
      <formula>"✗"</formula>
    </cfRule>
    <cfRule type="cellIs" dxfId="2" priority="6" operator="equal">
      <formula>"⚪"</formula>
    </cfRule>
  </conditionalFormatting>
  <conditionalFormatting sqref="W6:W14">
    <cfRule type="expression" dxfId="1" priority="2">
      <formula>ISNUMBER(SEARCH("HOT",W6))</formula>
    </cfRule>
    <cfRule type="expression" dxfId="0" priority="3">
      <formula>ISNUMBER(SEARCH("COLD",W6))</formula>
    </cfRule>
  </conditionalFormatting>
  <dataValidations count="5">
    <dataValidation type="list" allowBlank="1" errorTitle="Invalid Result" error="Please select ✓ (worked), ✗ (failed), or ⚪ (skipped)" promptTitle="Play Result" prompt="✓=Worked  ✗=Failed  ⚪=Skipped" sqref="O6:O10 O12:O15 O17:O21 O23:O26 O28:O32 O34:O37 O39:O41" xr:uid="{00000000-0002-0000-0700-000000000000}">
      <formula1>"✓,✗,⚪"</formula1>
      <formula2>0</formula2>
    </dataValidation>
    <dataValidation type="list" allowBlank="1" sqref="S17" xr:uid="{00000000-0002-0000-0700-000001000000}">
      <formula1>"1st,2nd,3rd,4th,2-PT"</formula1>
      <formula2>0</formula2>
    </dataValidation>
    <dataValidation type="list" allowBlank="1" sqref="U17" xr:uid="{00000000-0002-0000-0700-000002000000}">
      <formula1>"Short (1-3),Medium (4-6),Long (7+),Goal Line"</formula1>
      <formula2>0</formula2>
    </dataValidation>
    <dataValidation type="list" allowBlank="1" sqref="S18" xr:uid="{00000000-0002-0000-0700-000003000000}">
      <formula1>"Backed Up (own 1-20),Midfield,Red Zone (opp 20),Goal Line (opp 5)"</formula1>
      <formula2>0</formula2>
    </dataValidation>
    <dataValidation type="list" allowBlank="1" errorTitle="Yards" error="Select yards or type custom value" promptTitle="Yards" prompt="Quick select yards gained/lost" sqref="P6:P10 P12:P15 P17:P21 P23:P26 P28:P32 P34:P37 P39:P41" xr:uid="{00000000-0002-0000-0700-000004000000}">
      <formula1>"-5,-3,-2,-1,0,1,2,3,4,5,6,7,8,10,12,15,20,25,30,TD"</formula1>
      <formula2>0</formula2>
    </dataValidation>
  </dataValidations>
  <hyperlinks>
    <hyperlink ref="B6" r:id="rId1" xr:uid="{00000000-0004-0000-0700-000000000000}"/>
    <hyperlink ref="C6" r:id="rId2" xr:uid="{00000000-0004-0000-0700-000001000000}"/>
    <hyperlink ref="B7" r:id="rId3" xr:uid="{00000000-0004-0000-0700-000002000000}"/>
    <hyperlink ref="C7" r:id="rId4" xr:uid="{00000000-0004-0000-0700-000003000000}"/>
    <hyperlink ref="B8" r:id="rId5" xr:uid="{00000000-0004-0000-0700-000004000000}"/>
    <hyperlink ref="C8" r:id="rId6" xr:uid="{00000000-0004-0000-0700-000005000000}"/>
    <hyperlink ref="B9" r:id="rId7" xr:uid="{00000000-0004-0000-0700-000006000000}"/>
    <hyperlink ref="C9" r:id="rId8" xr:uid="{00000000-0004-0000-0700-000007000000}"/>
    <hyperlink ref="B10" r:id="rId9" xr:uid="{00000000-0004-0000-0700-000008000000}"/>
    <hyperlink ref="C10" r:id="rId10" xr:uid="{00000000-0004-0000-0700-000009000000}"/>
    <hyperlink ref="B12" r:id="rId11" xr:uid="{00000000-0004-0000-0700-00000A000000}"/>
    <hyperlink ref="C12" r:id="rId12" xr:uid="{00000000-0004-0000-0700-00000B000000}"/>
    <hyperlink ref="B13" r:id="rId13" xr:uid="{00000000-0004-0000-0700-00000C000000}"/>
    <hyperlink ref="C13" r:id="rId14" xr:uid="{00000000-0004-0000-0700-00000D000000}"/>
    <hyperlink ref="B14" r:id="rId15" xr:uid="{00000000-0004-0000-0700-00000E000000}"/>
    <hyperlink ref="C14" r:id="rId16" xr:uid="{00000000-0004-0000-0700-00000F000000}"/>
    <hyperlink ref="B15" r:id="rId17" xr:uid="{00000000-0004-0000-0700-000010000000}"/>
    <hyperlink ref="C15" r:id="rId18" xr:uid="{00000000-0004-0000-0700-000011000000}"/>
    <hyperlink ref="B17" r:id="rId19" xr:uid="{00000000-0004-0000-0700-000012000000}"/>
    <hyperlink ref="C17" r:id="rId20" xr:uid="{00000000-0004-0000-0700-000013000000}"/>
    <hyperlink ref="B18" r:id="rId21" xr:uid="{00000000-0004-0000-0700-000014000000}"/>
    <hyperlink ref="C18" r:id="rId22" xr:uid="{00000000-0004-0000-0700-000015000000}"/>
    <hyperlink ref="B19" r:id="rId23" xr:uid="{00000000-0004-0000-0700-000016000000}"/>
    <hyperlink ref="C19" r:id="rId24" xr:uid="{00000000-0004-0000-0700-000017000000}"/>
    <hyperlink ref="B20" r:id="rId25" xr:uid="{00000000-0004-0000-0700-000018000000}"/>
    <hyperlink ref="C20" r:id="rId26" xr:uid="{00000000-0004-0000-0700-000019000000}"/>
    <hyperlink ref="B21" r:id="rId27" xr:uid="{00000000-0004-0000-0700-00001A000000}"/>
    <hyperlink ref="C21" r:id="rId28" xr:uid="{00000000-0004-0000-0700-00001B000000}"/>
    <hyperlink ref="B23" r:id="rId29" xr:uid="{00000000-0004-0000-0700-00001C000000}"/>
    <hyperlink ref="C23" r:id="rId30" xr:uid="{00000000-0004-0000-0700-00001D000000}"/>
    <hyperlink ref="B24" r:id="rId31" xr:uid="{00000000-0004-0000-0700-00001E000000}"/>
    <hyperlink ref="C24" r:id="rId32" xr:uid="{00000000-0004-0000-0700-00001F000000}"/>
    <hyperlink ref="B25" r:id="rId33" xr:uid="{00000000-0004-0000-0700-000020000000}"/>
    <hyperlink ref="C25" r:id="rId34" xr:uid="{00000000-0004-0000-0700-000021000000}"/>
    <hyperlink ref="B26" r:id="rId35" xr:uid="{00000000-0004-0000-0700-000022000000}"/>
    <hyperlink ref="C26" r:id="rId36" xr:uid="{00000000-0004-0000-0700-000023000000}"/>
    <hyperlink ref="B28" r:id="rId37" xr:uid="{00000000-0004-0000-0700-000024000000}"/>
    <hyperlink ref="C28" r:id="rId38" xr:uid="{00000000-0004-0000-0700-000025000000}"/>
    <hyperlink ref="B29" r:id="rId39" xr:uid="{00000000-0004-0000-0700-000026000000}"/>
    <hyperlink ref="C29" r:id="rId40" xr:uid="{00000000-0004-0000-0700-000027000000}"/>
    <hyperlink ref="B30" r:id="rId41" xr:uid="{00000000-0004-0000-0700-000028000000}"/>
    <hyperlink ref="C30" r:id="rId42" xr:uid="{00000000-0004-0000-0700-000029000000}"/>
    <hyperlink ref="B31" r:id="rId43" xr:uid="{00000000-0004-0000-0700-00002A000000}"/>
    <hyperlink ref="C31" r:id="rId44" xr:uid="{00000000-0004-0000-0700-00002B000000}"/>
    <hyperlink ref="B32" r:id="rId45" xr:uid="{00000000-0004-0000-0700-00002C000000}"/>
    <hyperlink ref="C32" r:id="rId46" xr:uid="{00000000-0004-0000-0700-00002D000000}"/>
    <hyperlink ref="B34" r:id="rId47" xr:uid="{00000000-0004-0000-0700-00002E000000}"/>
    <hyperlink ref="C34" r:id="rId48" xr:uid="{00000000-0004-0000-0700-00002F000000}"/>
    <hyperlink ref="B35" r:id="rId49" xr:uid="{00000000-0004-0000-0700-000030000000}"/>
    <hyperlink ref="C35" r:id="rId50" xr:uid="{00000000-0004-0000-0700-000031000000}"/>
    <hyperlink ref="B36" r:id="rId51" xr:uid="{00000000-0004-0000-0700-000032000000}"/>
    <hyperlink ref="C36" r:id="rId52" xr:uid="{00000000-0004-0000-0700-000033000000}"/>
    <hyperlink ref="B37" r:id="rId53" xr:uid="{00000000-0004-0000-0700-000034000000}"/>
    <hyperlink ref="C37" r:id="rId54" xr:uid="{00000000-0004-0000-0700-000035000000}"/>
    <hyperlink ref="B39" r:id="rId55" xr:uid="{00000000-0004-0000-0700-000036000000}"/>
    <hyperlink ref="C39" r:id="rId56" xr:uid="{00000000-0004-0000-0700-000037000000}"/>
    <hyperlink ref="B40" r:id="rId57" xr:uid="{00000000-0004-0000-0700-000038000000}"/>
    <hyperlink ref="C40" r:id="rId58" xr:uid="{00000000-0004-0000-0700-000039000000}"/>
    <hyperlink ref="B41" r:id="rId59" xr:uid="{00000000-0004-0000-0700-00003A000000}"/>
    <hyperlink ref="C41" r:id="rId60" xr:uid="{00000000-0004-0000-0700-00003B000000}"/>
  </hyperlinks>
  <pageMargins left="0.75" right="0.75" top="1" bottom="1" header="0.511811023622047" footer="0.511811023622047"/>
  <pageSetup paperSize="9" orientation="portrait" horizontalDpi="300" verticalDpi="300"/>
  <drawing r:id="rId6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09"/>
  <sheetViews>
    <sheetView zoomScaleNormal="100" workbookViewId="0">
      <pane ySplit="8" topLeftCell="A9" activePane="bottomLeft" state="frozen"/>
      <selection pane="bottomLeft"/>
    </sheetView>
  </sheetViews>
  <sheetFormatPr defaultColWidth="8.7421875" defaultRowHeight="15" customHeight="1" x14ac:dyDescent="0.2"/>
  <cols>
    <col min="1" max="11" width="11.97265625" style="80" customWidth="1"/>
  </cols>
  <sheetData>
    <row r="1" spans="1:11" ht="39.75" customHeight="1" x14ac:dyDescent="0.2">
      <c r="A1" s="138" t="s">
        <v>295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5" customHeight="1" x14ac:dyDescent="0.2">
      <c r="A2" s="85" t="s">
        <v>296</v>
      </c>
    </row>
    <row r="3" spans="1:11" ht="34.5" customHeight="1" x14ac:dyDescent="0.2">
      <c r="A3" s="60" t="s">
        <v>297</v>
      </c>
      <c r="B3" s="61">
        <v>1</v>
      </c>
      <c r="C3" s="139" t="s">
        <v>298</v>
      </c>
      <c r="D3" s="88"/>
      <c r="E3" s="88"/>
      <c r="F3" s="88"/>
      <c r="G3" s="62"/>
      <c r="H3" s="62"/>
      <c r="I3" s="62"/>
      <c r="J3" s="62"/>
      <c r="K3" s="63"/>
    </row>
    <row r="4" spans="1:11" ht="17.25" customHeight="1" x14ac:dyDescent="0.2">
      <c r="A4" s="64" t="s">
        <v>299</v>
      </c>
      <c r="B4" s="142" t="str">
        <f>IFERROR(VLOOKUP($B$3*1,'Game Plan - 30 Plays'!$A$6:$L$41,3,FALSE),"")</f>
        <v>Tick</v>
      </c>
      <c r="C4" s="88"/>
      <c r="D4" s="140" t="str">
        <f>IFERROR(VLOOKUP($B$3*1,'Game Plan - 30 Plays'!$A$6:$L$41,4,FALSE),"")</f>
        <v>Standard - Z Quick</v>
      </c>
      <c r="E4" s="88"/>
      <c r="F4" s="88"/>
      <c r="G4" s="63"/>
      <c r="H4" s="63"/>
      <c r="I4" s="63"/>
      <c r="J4" s="63"/>
      <c r="K4" s="63"/>
    </row>
    <row r="5" spans="1:11" ht="27.75" customHeight="1" x14ac:dyDescent="0.2">
      <c r="A5" s="65" t="s">
        <v>13</v>
      </c>
      <c r="B5" s="66" t="s">
        <v>20</v>
      </c>
      <c r="C5" s="67" t="s">
        <v>21</v>
      </c>
      <c r="D5" s="68" t="s">
        <v>22</v>
      </c>
      <c r="E5" s="69" t="s">
        <v>23</v>
      </c>
      <c r="F5" s="70" t="s">
        <v>24</v>
      </c>
      <c r="G5" s="63"/>
      <c r="H5" s="63"/>
      <c r="I5" s="63"/>
      <c r="J5" s="63"/>
      <c r="K5" s="63"/>
    </row>
    <row r="6" spans="1:11" ht="31.5" customHeight="1" x14ac:dyDescent="0.2">
      <c r="A6" s="71" t="str">
        <f>IFERROR(VLOOKUP($B$3*1,'Game Plan - 30 Plays'!$A$6:$L$41,5,FALSE),"")</f>
        <v>Phipps</v>
      </c>
      <c r="B6" s="72" t="str">
        <f>IFERROR(VLOOKUP($B$3*1,'Game Plan - 30 Plays'!$A$6:$L$41,6,FALSE),"")</f>
        <v>Simmons</v>
      </c>
      <c r="C6" s="73" t="str">
        <f>IFERROR(VLOOKUP($B$3*1,'Game Plan - 30 Plays'!$A$6:$L$41,7,FALSE),"")</f>
        <v>Spivey</v>
      </c>
      <c r="D6" s="74" t="str">
        <f>IFERROR(VLOOKUP($B$3*1,'Game Plan - 30 Plays'!$A$6:$L$41,8,FALSE),"")</f>
        <v>Martinez</v>
      </c>
      <c r="E6" s="75" t="str">
        <f>IFERROR(VLOOKUP($B$3*1,'Game Plan - 30 Plays'!$A$6:$L$41,9,FALSE),"")</f>
        <v>Stevens</v>
      </c>
      <c r="F6" s="76" t="str">
        <f>IFERROR(VLOOKUP($B$3*1,'Game Plan - 30 Plays'!$A$6:$L$41,10,FALSE),"")</f>
        <v>Hobbins</v>
      </c>
      <c r="G6" s="63"/>
      <c r="H6" s="63"/>
      <c r="I6" s="63"/>
      <c r="J6" s="63"/>
      <c r="K6" s="63"/>
    </row>
    <row r="7" spans="1:11" ht="15" customHeight="1" x14ac:dyDescent="0.2">
      <c r="A7" s="77" t="s">
        <v>300</v>
      </c>
      <c r="B7" s="136" t="str">
        <f>IFERROR(VLOOKUP($B$3*1,'Game Plan - 30 Plays'!$A$6:$L$41,11,FALSE),"")</f>
        <v>X (Martinez)</v>
      </c>
      <c r="C7" s="137"/>
      <c r="D7" s="77" t="s">
        <v>301</v>
      </c>
      <c r="E7" s="78" t="str">
        <f>IFERROR(VLOOKUP($B$3*1,'Game Plan - 30 Plays'!$A$6:$L$41,12,FALSE),"")</f>
        <v>PASS</v>
      </c>
      <c r="F7" s="63"/>
      <c r="G7" s="63"/>
      <c r="H7" s="63"/>
      <c r="I7" s="63"/>
      <c r="J7" s="63"/>
      <c r="K7" s="63"/>
    </row>
    <row r="8" spans="1:11" ht="15" customHeight="1" x14ac:dyDescent="0.2">
      <c r="A8" s="141" t="str">
        <f>IF($B$3="","",IFERROR(HYPERLINK("#PlayViewer!A"&amp;TEXT(VLOOKUP($B$4,'Dropdown Lists'!$H$2:$I$10,2,FALSE),"0"),"▶ JUMP TO DIAGRAM ▼"),"Select a play above"))</f>
        <v>▶ JUMP TO DIAGRAM ▼</v>
      </c>
      <c r="B8" s="88"/>
      <c r="C8" s="88"/>
      <c r="D8" s="88"/>
      <c r="E8" s="88"/>
      <c r="F8" s="88"/>
      <c r="G8" s="63"/>
      <c r="H8" s="63"/>
      <c r="I8" s="63"/>
      <c r="J8" s="63"/>
      <c r="K8" s="63"/>
    </row>
    <row r="9" spans="1:11" ht="19.5" customHeight="1" x14ac:dyDescent="0.2"/>
    <row r="10" spans="1:11" ht="19.5" customHeight="1" x14ac:dyDescent="0.2"/>
    <row r="11" spans="1:11" ht="19.5" customHeight="1" x14ac:dyDescent="0.2"/>
    <row r="12" spans="1:11" ht="19.5" customHeight="1" x14ac:dyDescent="0.2"/>
    <row r="13" spans="1:11" ht="19.5" customHeight="1" x14ac:dyDescent="0.2"/>
    <row r="14" spans="1:11" ht="19.5" customHeight="1" x14ac:dyDescent="0.2"/>
    <row r="15" spans="1:11" ht="19.5" customHeight="1" x14ac:dyDescent="0.2"/>
    <row r="16" spans="1:11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spans="1:8" ht="15" customHeight="1" x14ac:dyDescent="0.2">
      <c r="A49" s="86" t="s">
        <v>302</v>
      </c>
    </row>
    <row r="51" spans="1:8" ht="30" customHeight="1" x14ac:dyDescent="0.2">
      <c r="A51" s="134" t="s">
        <v>303</v>
      </c>
      <c r="B51" s="88"/>
      <c r="C51" s="88"/>
      <c r="D51" s="88"/>
      <c r="E51" s="88"/>
      <c r="F51" s="88"/>
      <c r="G51" s="88"/>
      <c r="H51" s="88"/>
    </row>
    <row r="52" spans="1:8" ht="15" customHeight="1" x14ac:dyDescent="0.2">
      <c r="A52" s="135" t="s">
        <v>304</v>
      </c>
      <c r="B52" s="88"/>
      <c r="C52" s="88"/>
      <c r="D52" s="88"/>
      <c r="E52" s="88"/>
      <c r="F52" s="88"/>
      <c r="G52" s="88"/>
      <c r="H52" s="88"/>
    </row>
    <row r="53" spans="1:8" ht="15" customHeight="1" x14ac:dyDescent="0.2">
      <c r="A53" s="133" t="s">
        <v>305</v>
      </c>
      <c r="B53" s="88"/>
      <c r="C53" s="88"/>
      <c r="D53" s="88"/>
      <c r="E53" s="88"/>
      <c r="F53" s="88"/>
      <c r="G53" s="88"/>
      <c r="H53" s="88"/>
    </row>
    <row r="54" spans="1:8" ht="19.5" customHeight="1" x14ac:dyDescent="0.2"/>
    <row r="55" spans="1:8" ht="19.5" customHeight="1" x14ac:dyDescent="0.2"/>
    <row r="56" spans="1:8" ht="19.5" customHeight="1" x14ac:dyDescent="0.2"/>
    <row r="57" spans="1:8" ht="19.5" customHeight="1" x14ac:dyDescent="0.2"/>
    <row r="58" spans="1:8" ht="19.5" customHeight="1" x14ac:dyDescent="0.2"/>
    <row r="59" spans="1:8" ht="19.5" customHeight="1" x14ac:dyDescent="0.2"/>
    <row r="60" spans="1:8" ht="19.5" customHeight="1" x14ac:dyDescent="0.2"/>
    <row r="61" spans="1:8" ht="19.5" customHeight="1" x14ac:dyDescent="0.2"/>
    <row r="62" spans="1:8" ht="19.5" customHeight="1" x14ac:dyDescent="0.2"/>
    <row r="63" spans="1:8" ht="19.5" customHeight="1" x14ac:dyDescent="0.2"/>
    <row r="64" spans="1:8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spans="1:8" ht="19.5" customHeight="1" x14ac:dyDescent="0.2"/>
    <row r="82" spans="1:8" ht="19.5" customHeight="1" x14ac:dyDescent="0.2"/>
    <row r="83" spans="1:8" ht="19.5" customHeight="1" x14ac:dyDescent="0.2"/>
    <row r="84" spans="1:8" ht="19.5" customHeight="1" x14ac:dyDescent="0.2"/>
    <row r="85" spans="1:8" ht="19.5" customHeight="1" x14ac:dyDescent="0.2"/>
    <row r="86" spans="1:8" ht="19.5" customHeight="1" x14ac:dyDescent="0.2"/>
    <row r="87" spans="1:8" ht="19.5" customHeight="1" x14ac:dyDescent="0.2"/>
    <row r="88" spans="1:8" ht="19.5" customHeight="1" x14ac:dyDescent="0.2"/>
    <row r="89" spans="1:8" ht="19.5" customHeight="1" x14ac:dyDescent="0.2"/>
    <row r="90" spans="1:8" ht="19.5" customHeight="1" x14ac:dyDescent="0.2"/>
    <row r="91" spans="1:8" ht="19.5" customHeight="1" x14ac:dyDescent="0.2"/>
    <row r="92" spans="1:8" ht="19.5" customHeight="1" x14ac:dyDescent="0.2"/>
    <row r="93" spans="1:8" ht="19.5" customHeight="1" x14ac:dyDescent="0.2"/>
    <row r="94" spans="1:8" ht="15" customHeight="1" x14ac:dyDescent="0.2">
      <c r="A94" s="86" t="s">
        <v>302</v>
      </c>
    </row>
    <row r="96" spans="1:8" ht="30" customHeight="1" x14ac:dyDescent="0.2">
      <c r="A96" s="134" t="s">
        <v>306</v>
      </c>
      <c r="B96" s="88"/>
      <c r="C96" s="88"/>
      <c r="D96" s="88"/>
      <c r="E96" s="88"/>
      <c r="F96" s="88"/>
      <c r="G96" s="88"/>
      <c r="H96" s="88"/>
    </row>
    <row r="97" spans="1:8" ht="15" customHeight="1" x14ac:dyDescent="0.2">
      <c r="A97" s="135" t="s">
        <v>307</v>
      </c>
      <c r="B97" s="88"/>
      <c r="C97" s="88"/>
      <c r="D97" s="88"/>
      <c r="E97" s="88"/>
      <c r="F97" s="88"/>
      <c r="G97" s="88"/>
      <c r="H97" s="88"/>
    </row>
    <row r="98" spans="1:8" ht="15" customHeight="1" x14ac:dyDescent="0.2">
      <c r="A98" s="133" t="s">
        <v>308</v>
      </c>
      <c r="B98" s="88"/>
      <c r="C98" s="88"/>
      <c r="D98" s="88"/>
      <c r="E98" s="88"/>
      <c r="F98" s="88"/>
      <c r="G98" s="88"/>
      <c r="H98" s="88"/>
    </row>
    <row r="99" spans="1:8" ht="19.5" customHeight="1" x14ac:dyDescent="0.2"/>
    <row r="100" spans="1:8" ht="19.5" customHeight="1" x14ac:dyDescent="0.2"/>
    <row r="101" spans="1:8" ht="19.5" customHeight="1" x14ac:dyDescent="0.2"/>
    <row r="102" spans="1:8" ht="19.5" customHeight="1" x14ac:dyDescent="0.2"/>
    <row r="103" spans="1:8" ht="19.5" customHeight="1" x14ac:dyDescent="0.2"/>
    <row r="104" spans="1:8" ht="19.5" customHeight="1" x14ac:dyDescent="0.2"/>
    <row r="105" spans="1:8" ht="19.5" customHeight="1" x14ac:dyDescent="0.2"/>
    <row r="106" spans="1:8" ht="19.5" customHeight="1" x14ac:dyDescent="0.2"/>
    <row r="107" spans="1:8" ht="19.5" customHeight="1" x14ac:dyDescent="0.2"/>
    <row r="108" spans="1:8" ht="19.5" customHeight="1" x14ac:dyDescent="0.2"/>
    <row r="109" spans="1:8" ht="19.5" customHeight="1" x14ac:dyDescent="0.2"/>
    <row r="110" spans="1:8" ht="19.5" customHeight="1" x14ac:dyDescent="0.2"/>
    <row r="111" spans="1:8" ht="19.5" customHeight="1" x14ac:dyDescent="0.2"/>
    <row r="112" spans="1:8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spans="1:8" ht="19.5" customHeight="1" x14ac:dyDescent="0.2"/>
    <row r="130" spans="1:8" ht="19.5" customHeight="1" x14ac:dyDescent="0.2"/>
    <row r="131" spans="1:8" ht="19.5" customHeight="1" x14ac:dyDescent="0.2"/>
    <row r="132" spans="1:8" ht="19.5" customHeight="1" x14ac:dyDescent="0.2"/>
    <row r="133" spans="1:8" ht="19.5" customHeight="1" x14ac:dyDescent="0.2"/>
    <row r="134" spans="1:8" ht="19.5" customHeight="1" x14ac:dyDescent="0.2"/>
    <row r="135" spans="1:8" ht="19.5" customHeight="1" x14ac:dyDescent="0.2"/>
    <row r="136" spans="1:8" ht="19.5" customHeight="1" x14ac:dyDescent="0.2"/>
    <row r="137" spans="1:8" ht="19.5" customHeight="1" x14ac:dyDescent="0.2"/>
    <row r="138" spans="1:8" ht="19.5" customHeight="1" x14ac:dyDescent="0.2"/>
    <row r="139" spans="1:8" ht="15" customHeight="1" x14ac:dyDescent="0.2">
      <c r="A139" s="86" t="s">
        <v>302</v>
      </c>
    </row>
    <row r="141" spans="1:8" ht="30" customHeight="1" x14ac:dyDescent="0.2">
      <c r="A141" s="134" t="s">
        <v>309</v>
      </c>
      <c r="B141" s="88"/>
      <c r="C141" s="88"/>
      <c r="D141" s="88"/>
      <c r="E141" s="88"/>
      <c r="F141" s="88"/>
      <c r="G141" s="88"/>
      <c r="H141" s="88"/>
    </row>
    <row r="142" spans="1:8" ht="15" customHeight="1" x14ac:dyDescent="0.2">
      <c r="A142" s="135" t="s">
        <v>310</v>
      </c>
      <c r="B142" s="88"/>
      <c r="C142" s="88"/>
      <c r="D142" s="88"/>
      <c r="E142" s="88"/>
      <c r="F142" s="88"/>
      <c r="G142" s="88"/>
      <c r="H142" s="88"/>
    </row>
    <row r="143" spans="1:8" ht="15" customHeight="1" x14ac:dyDescent="0.2">
      <c r="A143" s="133" t="s">
        <v>311</v>
      </c>
      <c r="B143" s="88"/>
      <c r="C143" s="88"/>
      <c r="D143" s="88"/>
      <c r="E143" s="88"/>
      <c r="F143" s="88"/>
      <c r="G143" s="88"/>
      <c r="H143" s="88"/>
    </row>
    <row r="144" spans="1:8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  <row r="150" ht="19.5" customHeight="1" x14ac:dyDescent="0.2"/>
    <row r="151" ht="19.5" customHeight="1" x14ac:dyDescent="0.2"/>
    <row r="152" ht="19.5" customHeight="1" x14ac:dyDescent="0.2"/>
    <row r="153" ht="19.5" customHeight="1" x14ac:dyDescent="0.2"/>
    <row r="154" ht="19.5" customHeight="1" x14ac:dyDescent="0.2"/>
    <row r="155" ht="19.5" customHeight="1" x14ac:dyDescent="0.2"/>
    <row r="156" ht="19.5" customHeight="1" x14ac:dyDescent="0.2"/>
    <row r="157" ht="19.5" customHeight="1" x14ac:dyDescent="0.2"/>
    <row r="158" ht="19.5" customHeight="1" x14ac:dyDescent="0.2"/>
    <row r="159" ht="19.5" customHeight="1" x14ac:dyDescent="0.2"/>
    <row r="160" ht="19.5" customHeight="1" x14ac:dyDescent="0.2"/>
    <row r="161" ht="19.5" customHeight="1" x14ac:dyDescent="0.2"/>
    <row r="162" ht="19.5" customHeight="1" x14ac:dyDescent="0.2"/>
    <row r="163" ht="19.5" customHeight="1" x14ac:dyDescent="0.2"/>
    <row r="164" ht="19.5" customHeight="1" x14ac:dyDescent="0.2"/>
    <row r="165" ht="19.5" customHeight="1" x14ac:dyDescent="0.2"/>
    <row r="166" ht="19.5" customHeight="1" x14ac:dyDescent="0.2"/>
    <row r="167" ht="19.5" customHeight="1" x14ac:dyDescent="0.2"/>
    <row r="168" ht="19.5" customHeight="1" x14ac:dyDescent="0.2"/>
    <row r="169" ht="19.5" customHeight="1" x14ac:dyDescent="0.2"/>
    <row r="170" ht="19.5" customHeight="1" x14ac:dyDescent="0.2"/>
    <row r="171" ht="19.5" customHeight="1" x14ac:dyDescent="0.2"/>
    <row r="172" ht="19.5" customHeight="1" x14ac:dyDescent="0.2"/>
    <row r="173" ht="19.5" customHeight="1" x14ac:dyDescent="0.2"/>
    <row r="174" ht="19.5" customHeight="1" x14ac:dyDescent="0.2"/>
    <row r="175" ht="19.5" customHeight="1" x14ac:dyDescent="0.2"/>
    <row r="176" ht="19.5" customHeight="1" x14ac:dyDescent="0.2"/>
    <row r="177" spans="1:8" ht="19.5" customHeight="1" x14ac:dyDescent="0.2"/>
    <row r="178" spans="1:8" ht="19.5" customHeight="1" x14ac:dyDescent="0.2"/>
    <row r="179" spans="1:8" ht="19.5" customHeight="1" x14ac:dyDescent="0.2"/>
    <row r="180" spans="1:8" ht="19.5" customHeight="1" x14ac:dyDescent="0.2"/>
    <row r="181" spans="1:8" ht="19.5" customHeight="1" x14ac:dyDescent="0.2"/>
    <row r="182" spans="1:8" ht="19.5" customHeight="1" x14ac:dyDescent="0.2"/>
    <row r="183" spans="1:8" ht="19.5" customHeight="1" x14ac:dyDescent="0.2"/>
    <row r="184" spans="1:8" ht="15" customHeight="1" x14ac:dyDescent="0.2">
      <c r="A184" s="86" t="s">
        <v>302</v>
      </c>
    </row>
    <row r="186" spans="1:8" ht="30" customHeight="1" x14ac:dyDescent="0.2">
      <c r="A186" s="134" t="s">
        <v>312</v>
      </c>
      <c r="B186" s="88"/>
      <c r="C186" s="88"/>
      <c r="D186" s="88"/>
      <c r="E186" s="88"/>
      <c r="F186" s="88"/>
      <c r="G186" s="88"/>
      <c r="H186" s="88"/>
    </row>
    <row r="187" spans="1:8" ht="15" customHeight="1" x14ac:dyDescent="0.2">
      <c r="A187" s="135" t="s">
        <v>313</v>
      </c>
      <c r="B187" s="88"/>
      <c r="C187" s="88"/>
      <c r="D187" s="88"/>
      <c r="E187" s="88"/>
      <c r="F187" s="88"/>
      <c r="G187" s="88"/>
      <c r="H187" s="88"/>
    </row>
    <row r="188" spans="1:8" ht="15" customHeight="1" x14ac:dyDescent="0.2">
      <c r="A188" s="133" t="s">
        <v>314</v>
      </c>
      <c r="B188" s="88"/>
      <c r="C188" s="88"/>
      <c r="D188" s="88"/>
      <c r="E188" s="88"/>
      <c r="F188" s="88"/>
      <c r="G188" s="88"/>
      <c r="H188" s="88"/>
    </row>
    <row r="189" spans="1:8" ht="19.5" customHeight="1" x14ac:dyDescent="0.2"/>
    <row r="190" spans="1:8" ht="19.5" customHeight="1" x14ac:dyDescent="0.2"/>
    <row r="191" spans="1:8" ht="19.5" customHeight="1" x14ac:dyDescent="0.2"/>
    <row r="192" spans="1:8" ht="19.5" customHeight="1" x14ac:dyDescent="0.2"/>
    <row r="193" ht="19.5" customHeight="1" x14ac:dyDescent="0.2"/>
    <row r="194" ht="19.5" customHeight="1" x14ac:dyDescent="0.2"/>
    <row r="195" ht="19.5" customHeight="1" x14ac:dyDescent="0.2"/>
    <row r="196" ht="19.5" customHeight="1" x14ac:dyDescent="0.2"/>
    <row r="197" ht="19.5" customHeight="1" x14ac:dyDescent="0.2"/>
    <row r="198" ht="19.5" customHeight="1" x14ac:dyDescent="0.2"/>
    <row r="199" ht="19.5" customHeight="1" x14ac:dyDescent="0.2"/>
    <row r="200" ht="19.5" customHeight="1" x14ac:dyDescent="0.2"/>
    <row r="201" ht="19.5" customHeight="1" x14ac:dyDescent="0.2"/>
    <row r="202" ht="19.5" customHeight="1" x14ac:dyDescent="0.2"/>
    <row r="203" ht="19.5" customHeight="1" x14ac:dyDescent="0.2"/>
    <row r="204" ht="19.5" customHeight="1" x14ac:dyDescent="0.2"/>
    <row r="205" ht="19.5" customHeight="1" x14ac:dyDescent="0.2"/>
    <row r="206" ht="19.5" customHeight="1" x14ac:dyDescent="0.2"/>
    <row r="207" ht="19.5" customHeight="1" x14ac:dyDescent="0.2"/>
    <row r="208" ht="19.5" customHeight="1" x14ac:dyDescent="0.2"/>
    <row r="209" ht="19.5" customHeight="1" x14ac:dyDescent="0.2"/>
    <row r="210" ht="19.5" customHeight="1" x14ac:dyDescent="0.2"/>
    <row r="211" ht="19.5" customHeight="1" x14ac:dyDescent="0.2"/>
    <row r="212" ht="19.5" customHeight="1" x14ac:dyDescent="0.2"/>
    <row r="213" ht="19.5" customHeight="1" x14ac:dyDescent="0.2"/>
    <row r="214" ht="19.5" customHeight="1" x14ac:dyDescent="0.2"/>
    <row r="215" ht="19.5" customHeight="1" x14ac:dyDescent="0.2"/>
    <row r="216" ht="19.5" customHeight="1" x14ac:dyDescent="0.2"/>
    <row r="217" ht="19.5" customHeight="1" x14ac:dyDescent="0.2"/>
    <row r="218" ht="19.5" customHeight="1" x14ac:dyDescent="0.2"/>
    <row r="219" ht="19.5" customHeight="1" x14ac:dyDescent="0.2"/>
    <row r="220" ht="19.5" customHeight="1" x14ac:dyDescent="0.2"/>
    <row r="221" ht="19.5" customHeight="1" x14ac:dyDescent="0.2"/>
    <row r="222" ht="19.5" customHeight="1" x14ac:dyDescent="0.2"/>
    <row r="223" ht="19.5" customHeight="1" x14ac:dyDescent="0.2"/>
    <row r="224" ht="19.5" customHeight="1" x14ac:dyDescent="0.2"/>
    <row r="225" spans="1:8" ht="19.5" customHeight="1" x14ac:dyDescent="0.2"/>
    <row r="226" spans="1:8" ht="19.5" customHeight="1" x14ac:dyDescent="0.2"/>
    <row r="227" spans="1:8" ht="19.5" customHeight="1" x14ac:dyDescent="0.2"/>
    <row r="228" spans="1:8" ht="19.5" customHeight="1" x14ac:dyDescent="0.2"/>
    <row r="229" spans="1:8" ht="15" customHeight="1" x14ac:dyDescent="0.2">
      <c r="A229" s="86" t="s">
        <v>302</v>
      </c>
    </row>
    <row r="231" spans="1:8" ht="30" customHeight="1" x14ac:dyDescent="0.2">
      <c r="A231" s="134" t="s">
        <v>315</v>
      </c>
      <c r="B231" s="88"/>
      <c r="C231" s="88"/>
      <c r="D231" s="88"/>
      <c r="E231" s="88"/>
      <c r="F231" s="88"/>
      <c r="G231" s="88"/>
      <c r="H231" s="88"/>
    </row>
    <row r="232" spans="1:8" ht="15" customHeight="1" x14ac:dyDescent="0.2">
      <c r="A232" s="135" t="s">
        <v>316</v>
      </c>
      <c r="B232" s="88"/>
      <c r="C232" s="88"/>
      <c r="D232" s="88"/>
      <c r="E232" s="88"/>
      <c r="F232" s="88"/>
      <c r="G232" s="88"/>
      <c r="H232" s="88"/>
    </row>
    <row r="233" spans="1:8" ht="15" customHeight="1" x14ac:dyDescent="0.2">
      <c r="A233" s="133" t="s">
        <v>317</v>
      </c>
      <c r="B233" s="88"/>
      <c r="C233" s="88"/>
      <c r="D233" s="88"/>
      <c r="E233" s="88"/>
      <c r="F233" s="88"/>
      <c r="G233" s="88"/>
      <c r="H233" s="88"/>
    </row>
    <row r="234" spans="1:8" ht="19.5" customHeight="1" x14ac:dyDescent="0.2"/>
    <row r="235" spans="1:8" ht="19.5" customHeight="1" x14ac:dyDescent="0.2"/>
    <row r="236" spans="1:8" ht="19.5" customHeight="1" x14ac:dyDescent="0.2"/>
    <row r="237" spans="1:8" ht="19.5" customHeight="1" x14ac:dyDescent="0.2"/>
    <row r="238" spans="1:8" ht="19.5" customHeight="1" x14ac:dyDescent="0.2"/>
    <row r="239" spans="1:8" ht="19.5" customHeight="1" x14ac:dyDescent="0.2"/>
    <row r="240" spans="1:8" ht="19.5" customHeight="1" x14ac:dyDescent="0.2"/>
    <row r="241" ht="19.5" customHeight="1" x14ac:dyDescent="0.2"/>
    <row r="242" ht="19.5" customHeight="1" x14ac:dyDescent="0.2"/>
    <row r="243" ht="19.5" customHeight="1" x14ac:dyDescent="0.2"/>
    <row r="244" ht="19.5" customHeight="1" x14ac:dyDescent="0.2"/>
    <row r="245" ht="19.5" customHeight="1" x14ac:dyDescent="0.2"/>
    <row r="246" ht="19.5" customHeight="1" x14ac:dyDescent="0.2"/>
    <row r="247" ht="19.5" customHeight="1" x14ac:dyDescent="0.2"/>
    <row r="248" ht="19.5" customHeight="1" x14ac:dyDescent="0.2"/>
    <row r="249" ht="19.5" customHeight="1" x14ac:dyDescent="0.2"/>
    <row r="250" ht="19.5" customHeight="1" x14ac:dyDescent="0.2"/>
    <row r="251" ht="19.5" customHeight="1" x14ac:dyDescent="0.2"/>
    <row r="252" ht="19.5" customHeight="1" x14ac:dyDescent="0.2"/>
    <row r="253" ht="19.5" customHeight="1" x14ac:dyDescent="0.2"/>
    <row r="254" ht="19.5" customHeight="1" x14ac:dyDescent="0.2"/>
    <row r="255" ht="19.5" customHeight="1" x14ac:dyDescent="0.2"/>
    <row r="256" ht="19.5" customHeight="1" x14ac:dyDescent="0.2"/>
    <row r="257" ht="19.5" customHeight="1" x14ac:dyDescent="0.2"/>
    <row r="258" ht="19.5" customHeight="1" x14ac:dyDescent="0.2"/>
    <row r="259" ht="19.5" customHeight="1" x14ac:dyDescent="0.2"/>
    <row r="260" ht="19.5" customHeight="1" x14ac:dyDescent="0.2"/>
    <row r="261" ht="19.5" customHeight="1" x14ac:dyDescent="0.2"/>
    <row r="262" ht="19.5" customHeight="1" x14ac:dyDescent="0.2"/>
    <row r="263" ht="19.5" customHeight="1" x14ac:dyDescent="0.2"/>
    <row r="264" ht="19.5" customHeight="1" x14ac:dyDescent="0.2"/>
    <row r="265" ht="19.5" customHeight="1" x14ac:dyDescent="0.2"/>
    <row r="266" ht="19.5" customHeight="1" x14ac:dyDescent="0.2"/>
    <row r="267" ht="19.5" customHeight="1" x14ac:dyDescent="0.2"/>
    <row r="268" ht="19.5" customHeight="1" x14ac:dyDescent="0.2"/>
    <row r="269" ht="19.5" customHeight="1" x14ac:dyDescent="0.2"/>
    <row r="270" ht="19.5" customHeight="1" x14ac:dyDescent="0.2"/>
    <row r="271" ht="19.5" customHeight="1" x14ac:dyDescent="0.2"/>
    <row r="272" ht="19.5" customHeight="1" x14ac:dyDescent="0.2"/>
    <row r="273" spans="1:8" ht="19.5" customHeight="1" x14ac:dyDescent="0.2"/>
    <row r="274" spans="1:8" ht="15" customHeight="1" x14ac:dyDescent="0.2">
      <c r="A274" s="86" t="s">
        <v>302</v>
      </c>
    </row>
    <row r="276" spans="1:8" ht="30" customHeight="1" x14ac:dyDescent="0.2">
      <c r="A276" s="134" t="s">
        <v>318</v>
      </c>
      <c r="B276" s="88"/>
      <c r="C276" s="88"/>
      <c r="D276" s="88"/>
      <c r="E276" s="88"/>
      <c r="F276" s="88"/>
      <c r="G276" s="88"/>
      <c r="H276" s="88"/>
    </row>
    <row r="277" spans="1:8" ht="15" customHeight="1" x14ac:dyDescent="0.2">
      <c r="A277" s="135" t="s">
        <v>319</v>
      </c>
      <c r="B277" s="88"/>
      <c r="C277" s="88"/>
      <c r="D277" s="88"/>
      <c r="E277" s="88"/>
      <c r="F277" s="88"/>
      <c r="G277" s="88"/>
      <c r="H277" s="88"/>
    </row>
    <row r="278" spans="1:8" ht="15" customHeight="1" x14ac:dyDescent="0.2">
      <c r="A278" s="133" t="s">
        <v>320</v>
      </c>
      <c r="B278" s="88"/>
      <c r="C278" s="88"/>
      <c r="D278" s="88"/>
      <c r="E278" s="88"/>
      <c r="F278" s="88"/>
      <c r="G278" s="88"/>
      <c r="H278" s="88"/>
    </row>
    <row r="279" spans="1:8" ht="19.5" customHeight="1" x14ac:dyDescent="0.2"/>
    <row r="280" spans="1:8" ht="19.5" customHeight="1" x14ac:dyDescent="0.2"/>
    <row r="281" spans="1:8" ht="19.5" customHeight="1" x14ac:dyDescent="0.2"/>
    <row r="282" spans="1:8" ht="19.5" customHeight="1" x14ac:dyDescent="0.2"/>
    <row r="283" spans="1:8" ht="19.5" customHeight="1" x14ac:dyDescent="0.2"/>
    <row r="284" spans="1:8" ht="19.5" customHeight="1" x14ac:dyDescent="0.2"/>
    <row r="285" spans="1:8" ht="19.5" customHeight="1" x14ac:dyDescent="0.2"/>
    <row r="286" spans="1:8" ht="19.5" customHeight="1" x14ac:dyDescent="0.2"/>
    <row r="287" spans="1:8" ht="19.5" customHeight="1" x14ac:dyDescent="0.2"/>
    <row r="288" spans="1:8" ht="19.5" customHeight="1" x14ac:dyDescent="0.2"/>
    <row r="289" ht="19.5" customHeight="1" x14ac:dyDescent="0.2"/>
    <row r="290" ht="19.5" customHeight="1" x14ac:dyDescent="0.2"/>
    <row r="291" ht="19.5" customHeight="1" x14ac:dyDescent="0.2"/>
    <row r="292" ht="19.5" customHeight="1" x14ac:dyDescent="0.2"/>
    <row r="293" ht="19.5" customHeight="1" x14ac:dyDescent="0.2"/>
    <row r="294" ht="19.5" customHeight="1" x14ac:dyDescent="0.2"/>
    <row r="295" ht="19.5" customHeight="1" x14ac:dyDescent="0.2"/>
    <row r="296" ht="19.5" customHeight="1" x14ac:dyDescent="0.2"/>
    <row r="297" ht="19.5" customHeight="1" x14ac:dyDescent="0.2"/>
    <row r="298" ht="19.5" customHeight="1" x14ac:dyDescent="0.2"/>
    <row r="299" ht="19.5" customHeight="1" x14ac:dyDescent="0.2"/>
    <row r="300" ht="19.5" customHeight="1" x14ac:dyDescent="0.2"/>
    <row r="301" ht="19.5" customHeight="1" x14ac:dyDescent="0.2"/>
    <row r="302" ht="19.5" customHeight="1" x14ac:dyDescent="0.2"/>
    <row r="303" ht="19.5" customHeight="1" x14ac:dyDescent="0.2"/>
    <row r="304" ht="19.5" customHeight="1" x14ac:dyDescent="0.2"/>
    <row r="305" spans="1:1" ht="19.5" customHeight="1" x14ac:dyDescent="0.2"/>
    <row r="306" spans="1:1" ht="19.5" customHeight="1" x14ac:dyDescent="0.2"/>
    <row r="307" spans="1:1" ht="19.5" customHeight="1" x14ac:dyDescent="0.2"/>
    <row r="308" spans="1:1" ht="19.5" customHeight="1" x14ac:dyDescent="0.2"/>
    <row r="309" spans="1:1" ht="19.5" customHeight="1" x14ac:dyDescent="0.2"/>
    <row r="310" spans="1:1" ht="19.5" customHeight="1" x14ac:dyDescent="0.2"/>
    <row r="311" spans="1:1" ht="19.5" customHeight="1" x14ac:dyDescent="0.2"/>
    <row r="312" spans="1:1" ht="19.5" customHeight="1" x14ac:dyDescent="0.2"/>
    <row r="313" spans="1:1" ht="19.5" customHeight="1" x14ac:dyDescent="0.2"/>
    <row r="314" spans="1:1" ht="19.5" customHeight="1" x14ac:dyDescent="0.2"/>
    <row r="315" spans="1:1" ht="19.5" customHeight="1" x14ac:dyDescent="0.2"/>
    <row r="316" spans="1:1" ht="19.5" customHeight="1" x14ac:dyDescent="0.2"/>
    <row r="317" spans="1:1" ht="19.5" customHeight="1" x14ac:dyDescent="0.2"/>
    <row r="318" spans="1:1" ht="19.5" customHeight="1" x14ac:dyDescent="0.2"/>
    <row r="319" spans="1:1" ht="15" customHeight="1" x14ac:dyDescent="0.2">
      <c r="A319" s="86" t="s">
        <v>302</v>
      </c>
    </row>
    <row r="321" spans="1:8" ht="30" customHeight="1" x14ac:dyDescent="0.2">
      <c r="A321" s="134" t="s">
        <v>321</v>
      </c>
      <c r="B321" s="88"/>
      <c r="C321" s="88"/>
      <c r="D321" s="88"/>
      <c r="E321" s="88"/>
      <c r="F321" s="88"/>
      <c r="G321" s="88"/>
      <c r="H321" s="88"/>
    </row>
    <row r="322" spans="1:8" ht="15" customHeight="1" x14ac:dyDescent="0.2">
      <c r="A322" s="135" t="s">
        <v>322</v>
      </c>
      <c r="B322" s="88"/>
      <c r="C322" s="88"/>
      <c r="D322" s="88"/>
      <c r="E322" s="88"/>
      <c r="F322" s="88"/>
      <c r="G322" s="88"/>
      <c r="H322" s="88"/>
    </row>
    <row r="323" spans="1:8" ht="15" customHeight="1" x14ac:dyDescent="0.2">
      <c r="A323" s="133" t="s">
        <v>323</v>
      </c>
      <c r="B323" s="88"/>
      <c r="C323" s="88"/>
      <c r="D323" s="88"/>
      <c r="E323" s="88"/>
      <c r="F323" s="88"/>
      <c r="G323" s="88"/>
      <c r="H323" s="88"/>
    </row>
    <row r="324" spans="1:8" ht="19.5" customHeight="1" x14ac:dyDescent="0.2"/>
    <row r="325" spans="1:8" ht="19.5" customHeight="1" x14ac:dyDescent="0.2"/>
    <row r="326" spans="1:8" ht="19.5" customHeight="1" x14ac:dyDescent="0.2"/>
    <row r="327" spans="1:8" ht="19.5" customHeight="1" x14ac:dyDescent="0.2"/>
    <row r="328" spans="1:8" ht="19.5" customHeight="1" x14ac:dyDescent="0.2"/>
    <row r="329" spans="1:8" ht="19.5" customHeight="1" x14ac:dyDescent="0.2"/>
    <row r="330" spans="1:8" ht="19.5" customHeight="1" x14ac:dyDescent="0.2"/>
    <row r="331" spans="1:8" ht="19.5" customHeight="1" x14ac:dyDescent="0.2"/>
    <row r="332" spans="1:8" ht="19.5" customHeight="1" x14ac:dyDescent="0.2"/>
    <row r="333" spans="1:8" ht="19.5" customHeight="1" x14ac:dyDescent="0.2"/>
    <row r="334" spans="1:8" ht="19.5" customHeight="1" x14ac:dyDescent="0.2"/>
    <row r="335" spans="1:8" ht="19.5" customHeight="1" x14ac:dyDescent="0.2"/>
    <row r="336" spans="1:8" ht="19.5" customHeight="1" x14ac:dyDescent="0.2"/>
    <row r="337" ht="19.5" customHeight="1" x14ac:dyDescent="0.2"/>
    <row r="338" ht="19.5" customHeight="1" x14ac:dyDescent="0.2"/>
    <row r="339" ht="19.5" customHeight="1" x14ac:dyDescent="0.2"/>
    <row r="340" ht="19.5" customHeight="1" x14ac:dyDescent="0.2"/>
    <row r="341" ht="19.5" customHeight="1" x14ac:dyDescent="0.2"/>
    <row r="342" ht="19.5" customHeight="1" x14ac:dyDescent="0.2"/>
    <row r="343" ht="19.5" customHeight="1" x14ac:dyDescent="0.2"/>
    <row r="344" ht="19.5" customHeight="1" x14ac:dyDescent="0.2"/>
    <row r="345" ht="19.5" customHeight="1" x14ac:dyDescent="0.2"/>
    <row r="346" ht="19.5" customHeight="1" x14ac:dyDescent="0.2"/>
    <row r="347" ht="19.5" customHeight="1" x14ac:dyDescent="0.2"/>
    <row r="348" ht="19.5" customHeight="1" x14ac:dyDescent="0.2"/>
    <row r="349" ht="19.5" customHeight="1" x14ac:dyDescent="0.2"/>
    <row r="350" ht="19.5" customHeight="1" x14ac:dyDescent="0.2"/>
    <row r="351" ht="19.5" customHeight="1" x14ac:dyDescent="0.2"/>
    <row r="352" ht="19.5" customHeight="1" x14ac:dyDescent="0.2"/>
    <row r="353" spans="1:8" ht="19.5" customHeight="1" x14ac:dyDescent="0.2"/>
    <row r="354" spans="1:8" ht="19.5" customHeight="1" x14ac:dyDescent="0.2"/>
    <row r="355" spans="1:8" ht="19.5" customHeight="1" x14ac:dyDescent="0.2"/>
    <row r="356" spans="1:8" ht="19.5" customHeight="1" x14ac:dyDescent="0.2"/>
    <row r="357" spans="1:8" ht="19.5" customHeight="1" x14ac:dyDescent="0.2"/>
    <row r="358" spans="1:8" ht="19.5" customHeight="1" x14ac:dyDescent="0.2"/>
    <row r="359" spans="1:8" ht="19.5" customHeight="1" x14ac:dyDescent="0.2"/>
    <row r="360" spans="1:8" ht="19.5" customHeight="1" x14ac:dyDescent="0.2"/>
    <row r="361" spans="1:8" ht="19.5" customHeight="1" x14ac:dyDescent="0.2"/>
    <row r="362" spans="1:8" ht="19.5" customHeight="1" x14ac:dyDescent="0.2"/>
    <row r="363" spans="1:8" ht="19.5" customHeight="1" x14ac:dyDescent="0.2"/>
    <row r="364" spans="1:8" ht="15" customHeight="1" x14ac:dyDescent="0.2">
      <c r="A364" s="86" t="s">
        <v>302</v>
      </c>
    </row>
    <row r="366" spans="1:8" ht="30" customHeight="1" x14ac:dyDescent="0.2">
      <c r="A366" s="134" t="s">
        <v>324</v>
      </c>
      <c r="B366" s="88"/>
      <c r="C366" s="88"/>
      <c r="D366" s="88"/>
      <c r="E366" s="88"/>
      <c r="F366" s="88"/>
      <c r="G366" s="88"/>
      <c r="H366" s="88"/>
    </row>
    <row r="367" spans="1:8" ht="15" customHeight="1" x14ac:dyDescent="0.2">
      <c r="A367" s="135" t="s">
        <v>325</v>
      </c>
      <c r="B367" s="88"/>
      <c r="C367" s="88"/>
      <c r="D367" s="88"/>
      <c r="E367" s="88"/>
      <c r="F367" s="88"/>
      <c r="G367" s="88"/>
      <c r="H367" s="88"/>
    </row>
    <row r="368" spans="1:8" ht="15" customHeight="1" x14ac:dyDescent="0.2">
      <c r="A368" s="133" t="s">
        <v>326</v>
      </c>
      <c r="B368" s="88"/>
      <c r="C368" s="88"/>
      <c r="D368" s="88"/>
      <c r="E368" s="88"/>
      <c r="F368" s="88"/>
      <c r="G368" s="88"/>
      <c r="H368" s="88"/>
    </row>
    <row r="369" ht="19.5" customHeight="1" x14ac:dyDescent="0.2"/>
    <row r="370" ht="19.5" customHeight="1" x14ac:dyDescent="0.2"/>
    <row r="371" ht="19.5" customHeight="1" x14ac:dyDescent="0.2"/>
    <row r="372" ht="19.5" customHeight="1" x14ac:dyDescent="0.2"/>
    <row r="373" ht="19.5" customHeight="1" x14ac:dyDescent="0.2"/>
    <row r="374" ht="19.5" customHeight="1" x14ac:dyDescent="0.2"/>
    <row r="375" ht="19.5" customHeight="1" x14ac:dyDescent="0.2"/>
    <row r="376" ht="19.5" customHeight="1" x14ac:dyDescent="0.2"/>
    <row r="377" ht="19.5" customHeight="1" x14ac:dyDescent="0.2"/>
    <row r="378" ht="19.5" customHeight="1" x14ac:dyDescent="0.2"/>
    <row r="379" ht="19.5" customHeight="1" x14ac:dyDescent="0.2"/>
    <row r="380" ht="19.5" customHeight="1" x14ac:dyDescent="0.2"/>
    <row r="381" ht="19.5" customHeight="1" x14ac:dyDescent="0.2"/>
    <row r="382" ht="19.5" customHeight="1" x14ac:dyDescent="0.2"/>
    <row r="383" ht="19.5" customHeight="1" x14ac:dyDescent="0.2"/>
    <row r="384" ht="19.5" customHeight="1" x14ac:dyDescent="0.2"/>
    <row r="385" ht="19.5" customHeight="1" x14ac:dyDescent="0.2"/>
    <row r="386" ht="19.5" customHeight="1" x14ac:dyDescent="0.2"/>
    <row r="387" ht="19.5" customHeight="1" x14ac:dyDescent="0.2"/>
    <row r="388" ht="19.5" customHeight="1" x14ac:dyDescent="0.2"/>
    <row r="389" ht="19.5" customHeight="1" x14ac:dyDescent="0.2"/>
    <row r="390" ht="19.5" customHeight="1" x14ac:dyDescent="0.2"/>
    <row r="391" ht="19.5" customHeight="1" x14ac:dyDescent="0.2"/>
    <row r="392" ht="19.5" customHeight="1" x14ac:dyDescent="0.2"/>
    <row r="393" ht="19.5" customHeight="1" x14ac:dyDescent="0.2"/>
    <row r="394" ht="19.5" customHeight="1" x14ac:dyDescent="0.2"/>
    <row r="395" ht="19.5" customHeight="1" x14ac:dyDescent="0.2"/>
    <row r="396" ht="19.5" customHeight="1" x14ac:dyDescent="0.2"/>
    <row r="397" ht="19.5" customHeight="1" x14ac:dyDescent="0.2"/>
    <row r="398" ht="19.5" customHeight="1" x14ac:dyDescent="0.2"/>
    <row r="399" ht="19.5" customHeight="1" x14ac:dyDescent="0.2"/>
    <row r="400" ht="19.5" customHeight="1" x14ac:dyDescent="0.2"/>
    <row r="401" spans="1:1" ht="19.5" customHeight="1" x14ac:dyDescent="0.2"/>
    <row r="402" spans="1:1" ht="19.5" customHeight="1" x14ac:dyDescent="0.2"/>
    <row r="403" spans="1:1" ht="19.5" customHeight="1" x14ac:dyDescent="0.2"/>
    <row r="404" spans="1:1" ht="19.5" customHeight="1" x14ac:dyDescent="0.2"/>
    <row r="405" spans="1:1" ht="19.5" customHeight="1" x14ac:dyDescent="0.2"/>
    <row r="406" spans="1:1" ht="19.5" customHeight="1" x14ac:dyDescent="0.2"/>
    <row r="407" spans="1:1" ht="19.5" customHeight="1" x14ac:dyDescent="0.2"/>
    <row r="408" spans="1:1" ht="19.5" customHeight="1" x14ac:dyDescent="0.2"/>
    <row r="409" spans="1:1" ht="15" customHeight="1" x14ac:dyDescent="0.2">
      <c r="A409" s="86" t="s">
        <v>302</v>
      </c>
    </row>
  </sheetData>
  <mergeCells count="30">
    <mergeCell ref="B7:C7"/>
    <mergeCell ref="A51:H51"/>
    <mergeCell ref="A98:H98"/>
    <mergeCell ref="A142:H142"/>
    <mergeCell ref="A1:K1"/>
    <mergeCell ref="C3:F3"/>
    <mergeCell ref="D4:F4"/>
    <mergeCell ref="A8:F8"/>
    <mergeCell ref="A141:H141"/>
    <mergeCell ref="A97:H97"/>
    <mergeCell ref="A53:H53"/>
    <mergeCell ref="A96:H96"/>
    <mergeCell ref="A52:H52"/>
    <mergeCell ref="B4:C4"/>
    <mergeCell ref="A143:H143"/>
    <mergeCell ref="A276:H276"/>
    <mergeCell ref="A232:H232"/>
    <mergeCell ref="A186:H186"/>
    <mergeCell ref="A368:H368"/>
    <mergeCell ref="A367:H367"/>
    <mergeCell ref="A187:H187"/>
    <mergeCell ref="A233:H233"/>
    <mergeCell ref="A366:H366"/>
    <mergeCell ref="A277:H277"/>
    <mergeCell ref="A278:H278"/>
    <mergeCell ref="A322:H322"/>
    <mergeCell ref="A321:H321"/>
    <mergeCell ref="A188:H188"/>
    <mergeCell ref="A231:H231"/>
    <mergeCell ref="A323:H323"/>
  </mergeCells>
  <hyperlinks>
    <hyperlink ref="A2" r:id="rId1" xr:uid="{00000000-0004-0000-0800-000000000000}"/>
    <hyperlink ref="B3" location="PlayViewer!A6" display="#PlayViewer.A6" xr:uid="{00000000-0004-0000-0800-000001000000}"/>
    <hyperlink ref="C3" location="PlayViewer!A51" display="◀ SELECT | ROSTER AUTO-UPDATES ▶" xr:uid="{00000000-0004-0000-0800-000002000000}"/>
    <hyperlink ref="A49" r:id="rId2" xr:uid="{00000000-0004-0000-0800-000003000000}"/>
    <hyperlink ref="A94" r:id="rId3" xr:uid="{00000000-0004-0000-0800-000004000000}"/>
    <hyperlink ref="A139" r:id="rId4" xr:uid="{00000000-0004-0000-0800-000005000000}"/>
    <hyperlink ref="A184" r:id="rId5" xr:uid="{00000000-0004-0000-0800-000006000000}"/>
    <hyperlink ref="A229" r:id="rId6" xr:uid="{00000000-0004-0000-0800-000007000000}"/>
    <hyperlink ref="A274" r:id="rId7" xr:uid="{00000000-0004-0000-0800-000008000000}"/>
    <hyperlink ref="A319" r:id="rId8" xr:uid="{00000000-0004-0000-0800-000009000000}"/>
    <hyperlink ref="A364" r:id="rId9" xr:uid="{00000000-0004-0000-0800-00000A000000}"/>
    <hyperlink ref="A409" r:id="rId10" xr:uid="{00000000-0004-0000-0800-00000B000000}"/>
  </hyperlinks>
  <pageMargins left="0.75" right="0.75" top="1" bottom="1" header="0.511811023622047" footer="0.511811023622047"/>
  <pageSetup paperSize="9" orientation="portrait" horizontalDpi="300" verticalDpi="300"/>
  <drawing r:id="rId1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 #" error="Enter a number between 1 and 30" promptTitle="Select Play #" prompt="Pick 1-30 to view that play's roster" xr:uid="{00000000-0002-0000-0800-000000000000}">
          <x14:formula1>
            <xm:f>'Dropdown Lists'!$G$2:$G$31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Players &amp; Positions</vt:lpstr>
      <vt:lpstr>Play Calls</vt:lpstr>
      <vt:lpstr>Stats</vt:lpstr>
      <vt:lpstr>Game Summary</vt:lpstr>
      <vt:lpstr>Dropdown Lists</vt:lpstr>
      <vt:lpstr>Play Diagrams</vt:lpstr>
      <vt:lpstr>Play Position Reference</vt:lpstr>
      <vt:lpstr>Game Plan - 30 Plays</vt:lpstr>
      <vt:lpstr>PlayViewer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Dawson</cp:lastModifiedBy>
  <cp:revision>0</cp:revision>
  <cp:lastPrinted>2026-01-27T23:05:24Z</cp:lastPrinted>
  <dcterms:created xsi:type="dcterms:W3CDTF">2026-01-17T16:21:33Z</dcterms:created>
  <dcterms:modified xsi:type="dcterms:W3CDTF">2026-02-07T18:43:35Z</dcterms:modified>
  <dc:language>en-US</dc:language>
</cp:coreProperties>
</file>